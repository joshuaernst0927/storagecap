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76502725b463a49/Desktop/Self Storage Info/"/>
    </mc:Choice>
  </mc:AlternateContent>
  <xr:revisionPtr revIDLastSave="13" documentId="11_DBED853668B710B3AC46022CD995C0CBE01CCD87" xr6:coauthVersionLast="47" xr6:coauthVersionMax="47" xr10:uidLastSave="{00D98275-861F-4A38-9ECF-55FF5D85E3E1}"/>
  <bookViews>
    <workbookView minimized="1" xWindow="3168" yWindow="3168" windowWidth="17280" windowHeight="9960" tabRatio="843" activeTab="2" xr2:uid="{00000000-000D-0000-FFFF-FFFF00000000}"/>
  </bookViews>
  <sheets>
    <sheet name="Dashboard" sheetId="1" r:id="rId1"/>
    <sheet name="Sources &amp; Notes" sheetId="2" r:id="rId2"/>
    <sheet name="Inputs" sheetId="3" r:id="rId3"/>
    <sheet name="Unit Mix &amp; Market Comps" sheetId="4" r:id="rId4"/>
    <sheet name="Monthly Lease-Up" sheetId="5" r:id="rId5"/>
    <sheet name="Revenue Forecast" sheetId="6" r:id="rId6"/>
    <sheet name="Operating Expenses" sheetId="7" r:id="rId7"/>
    <sheet name="Expansion CapEx" sheetId="8" r:id="rId8"/>
    <sheet name="Debt &amp; Refi" sheetId="9" r:id="rId9"/>
    <sheet name="Fees" sheetId="10" r:id="rId10"/>
    <sheet name="GP-LP Waterfall" sheetId="11" r:id="rId11"/>
    <sheet name="Returns Summary" sheetId="12" r:id="rId12"/>
    <sheet name="Sensitivity" sheetId="13" r:id="rId13"/>
    <sheet name="Unlevered Scenario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4" l="1"/>
  <c r="F27" i="14"/>
  <c r="E27" i="14"/>
  <c r="D27" i="14"/>
  <c r="C27" i="14"/>
  <c r="B27" i="14"/>
  <c r="F26" i="14"/>
  <c r="E26" i="14"/>
  <c r="D26" i="14"/>
  <c r="C26" i="14"/>
  <c r="B26" i="14"/>
  <c r="F25" i="14"/>
  <c r="E25" i="14"/>
  <c r="D25" i="14"/>
  <c r="C25" i="14"/>
  <c r="B25" i="14"/>
  <c r="F24" i="14"/>
  <c r="E24" i="14"/>
  <c r="D24" i="14"/>
  <c r="C24" i="14"/>
  <c r="B24" i="14"/>
  <c r="F23" i="14"/>
  <c r="E23" i="14"/>
  <c r="D23" i="14"/>
  <c r="C23" i="14"/>
  <c r="B23" i="14"/>
  <c r="F19" i="14"/>
  <c r="E19" i="14"/>
  <c r="D19" i="14"/>
  <c r="C19" i="14"/>
  <c r="B19" i="14"/>
  <c r="F18" i="14"/>
  <c r="E18" i="14"/>
  <c r="D18" i="14"/>
  <c r="C18" i="14"/>
  <c r="B18" i="14"/>
  <c r="F17" i="14"/>
  <c r="E17" i="14"/>
  <c r="D17" i="14"/>
  <c r="C17" i="14"/>
  <c r="B17" i="14"/>
  <c r="F16" i="14"/>
  <c r="E16" i="14"/>
  <c r="D16" i="14"/>
  <c r="C16" i="14"/>
  <c r="B16" i="14"/>
  <c r="F15" i="14"/>
  <c r="E15" i="14"/>
  <c r="D15" i="14"/>
  <c r="C15" i="14"/>
  <c r="B15" i="14"/>
  <c r="F14" i="14"/>
  <c r="E14" i="14"/>
  <c r="D14" i="14"/>
  <c r="C14" i="14"/>
  <c r="B14" i="14"/>
  <c r="F10" i="14"/>
  <c r="E10" i="14"/>
  <c r="D10" i="14"/>
  <c r="C10" i="14"/>
  <c r="B10" i="14"/>
  <c r="F9" i="14"/>
  <c r="E9" i="14"/>
  <c r="D9" i="14"/>
  <c r="C9" i="14"/>
  <c r="B9" i="14"/>
  <c r="F8" i="14"/>
  <c r="E8" i="14"/>
  <c r="D8" i="14"/>
  <c r="C8" i="14"/>
  <c r="B8" i="14"/>
  <c r="F7" i="14"/>
  <c r="E7" i="14"/>
  <c r="D7" i="14"/>
  <c r="C7" i="14"/>
  <c r="B7" i="14"/>
  <c r="F6" i="14"/>
  <c r="E6" i="14"/>
  <c r="D6" i="14"/>
  <c r="C6" i="14"/>
  <c r="B6" i="14"/>
  <c r="F5" i="14"/>
  <c r="E5" i="14"/>
  <c r="D5" i="14"/>
  <c r="C5" i="14"/>
  <c r="B5" i="14"/>
  <c r="F4" i="14"/>
  <c r="E4" i="14"/>
  <c r="D4" i="14"/>
  <c r="C4" i="14"/>
  <c r="B4" i="14"/>
  <c r="B47" i="12"/>
  <c r="H9" i="12"/>
  <c r="H8" i="12"/>
  <c r="H7" i="12"/>
  <c r="H6" i="12"/>
  <c r="E9" i="10"/>
  <c r="E8" i="10"/>
  <c r="E7" i="10"/>
  <c r="E6" i="10"/>
  <c r="E5" i="10"/>
  <c r="C4" i="10"/>
  <c r="I73" i="9"/>
  <c r="H73" i="9"/>
  <c r="G73" i="9"/>
  <c r="I72" i="9"/>
  <c r="H72" i="9"/>
  <c r="G72" i="9"/>
  <c r="I71" i="9"/>
  <c r="H71" i="9"/>
  <c r="G71" i="9"/>
  <c r="I70" i="9"/>
  <c r="H70" i="9"/>
  <c r="G70" i="9"/>
  <c r="I69" i="9"/>
  <c r="H69" i="9"/>
  <c r="G69" i="9"/>
  <c r="I68" i="9"/>
  <c r="H68" i="9"/>
  <c r="G68" i="9"/>
  <c r="I67" i="9"/>
  <c r="H67" i="9"/>
  <c r="G67" i="9"/>
  <c r="I66" i="9"/>
  <c r="H66" i="9"/>
  <c r="G66" i="9"/>
  <c r="I65" i="9"/>
  <c r="H65" i="9"/>
  <c r="G65" i="9"/>
  <c r="I64" i="9"/>
  <c r="H64" i="9"/>
  <c r="G64" i="9"/>
  <c r="I63" i="9"/>
  <c r="H63" i="9"/>
  <c r="G63" i="9"/>
  <c r="I62" i="9"/>
  <c r="H62" i="9"/>
  <c r="G62" i="9"/>
  <c r="I61" i="9"/>
  <c r="H61" i="9"/>
  <c r="G61" i="9"/>
  <c r="I60" i="9"/>
  <c r="H60" i="9"/>
  <c r="G60" i="9"/>
  <c r="I59" i="9"/>
  <c r="H59" i="9"/>
  <c r="G59" i="9"/>
  <c r="I58" i="9"/>
  <c r="H58" i="9"/>
  <c r="G58" i="9"/>
  <c r="I57" i="9"/>
  <c r="H57" i="9"/>
  <c r="G57" i="9"/>
  <c r="I56" i="9"/>
  <c r="H56" i="9"/>
  <c r="G56" i="9"/>
  <c r="I55" i="9"/>
  <c r="H55" i="9"/>
  <c r="G55" i="9"/>
  <c r="I54" i="9"/>
  <c r="H54" i="9"/>
  <c r="G54" i="9"/>
  <c r="I53" i="9"/>
  <c r="H53" i="9"/>
  <c r="G53" i="9"/>
  <c r="I52" i="9"/>
  <c r="H52" i="9"/>
  <c r="G52" i="9"/>
  <c r="I51" i="9"/>
  <c r="H51" i="9"/>
  <c r="G51" i="9"/>
  <c r="I50" i="9"/>
  <c r="H50" i="9"/>
  <c r="G50" i="9"/>
  <c r="I49" i="9"/>
  <c r="H49" i="9"/>
  <c r="G49" i="9"/>
  <c r="I48" i="9"/>
  <c r="H48" i="9"/>
  <c r="G48" i="9"/>
  <c r="I47" i="9"/>
  <c r="H47" i="9"/>
  <c r="G47" i="9"/>
  <c r="I46" i="9"/>
  <c r="H46" i="9"/>
  <c r="G46" i="9"/>
  <c r="I45" i="9"/>
  <c r="H45" i="9"/>
  <c r="G45" i="9"/>
  <c r="I44" i="9"/>
  <c r="H44" i="9"/>
  <c r="G44" i="9"/>
  <c r="I43" i="9"/>
  <c r="H43" i="9"/>
  <c r="G43" i="9"/>
  <c r="I42" i="9"/>
  <c r="H42" i="9"/>
  <c r="G42" i="9"/>
  <c r="I41" i="9"/>
  <c r="H41" i="9"/>
  <c r="G41" i="9"/>
  <c r="I40" i="9"/>
  <c r="H40" i="9"/>
  <c r="G40" i="9"/>
  <c r="I39" i="9"/>
  <c r="H39" i="9"/>
  <c r="G39" i="9"/>
  <c r="I38" i="9"/>
  <c r="H38" i="9"/>
  <c r="G38" i="9"/>
  <c r="I37" i="9"/>
  <c r="H37" i="9"/>
  <c r="G37" i="9"/>
  <c r="I36" i="9"/>
  <c r="H36" i="9"/>
  <c r="G36" i="9"/>
  <c r="I35" i="9"/>
  <c r="H35" i="9"/>
  <c r="G35" i="9"/>
  <c r="I34" i="9"/>
  <c r="H34" i="9"/>
  <c r="G34" i="9"/>
  <c r="I33" i="9"/>
  <c r="H33" i="9"/>
  <c r="G33" i="9"/>
  <c r="I32" i="9"/>
  <c r="H32" i="9"/>
  <c r="G32" i="9"/>
  <c r="I31" i="9"/>
  <c r="H31" i="9"/>
  <c r="G31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B5" i="9"/>
  <c r="B4" i="9"/>
  <c r="D76" i="8"/>
  <c r="B76" i="8"/>
  <c r="D75" i="8"/>
  <c r="B75" i="8"/>
  <c r="D74" i="8"/>
  <c r="B74" i="8"/>
  <c r="D73" i="8"/>
  <c r="B73" i="8"/>
  <c r="D72" i="8"/>
  <c r="B72" i="8"/>
  <c r="D71" i="8"/>
  <c r="B71" i="8"/>
  <c r="D70" i="8"/>
  <c r="B70" i="8"/>
  <c r="D69" i="8"/>
  <c r="B69" i="8"/>
  <c r="D68" i="8"/>
  <c r="B68" i="8"/>
  <c r="D67" i="8"/>
  <c r="B67" i="8"/>
  <c r="D66" i="8"/>
  <c r="B66" i="8"/>
  <c r="D65" i="8"/>
  <c r="B65" i="8"/>
  <c r="D64" i="8"/>
  <c r="B64" i="8"/>
  <c r="D63" i="8"/>
  <c r="B63" i="8"/>
  <c r="D62" i="8"/>
  <c r="B62" i="8"/>
  <c r="D61" i="8"/>
  <c r="B61" i="8"/>
  <c r="D60" i="8"/>
  <c r="B60" i="8"/>
  <c r="D59" i="8"/>
  <c r="B59" i="8"/>
  <c r="D58" i="8"/>
  <c r="B58" i="8"/>
  <c r="D57" i="8"/>
  <c r="B57" i="8"/>
  <c r="D56" i="8"/>
  <c r="B56" i="8"/>
  <c r="D55" i="8"/>
  <c r="B55" i="8"/>
  <c r="D54" i="8"/>
  <c r="B54" i="8"/>
  <c r="D53" i="8"/>
  <c r="B53" i="8"/>
  <c r="D52" i="8"/>
  <c r="B52" i="8"/>
  <c r="D51" i="8"/>
  <c r="B51" i="8"/>
  <c r="D50" i="8"/>
  <c r="B50" i="8"/>
  <c r="D49" i="8"/>
  <c r="B49" i="8"/>
  <c r="D48" i="8"/>
  <c r="B48" i="8"/>
  <c r="D47" i="8"/>
  <c r="B47" i="8"/>
  <c r="D46" i="8"/>
  <c r="B46" i="8"/>
  <c r="D45" i="8"/>
  <c r="B45" i="8"/>
  <c r="D44" i="8"/>
  <c r="B44" i="8"/>
  <c r="D43" i="8"/>
  <c r="B43" i="8"/>
  <c r="D42" i="8"/>
  <c r="B42" i="8"/>
  <c r="D41" i="8"/>
  <c r="B41" i="8"/>
  <c r="D40" i="8"/>
  <c r="B40" i="8"/>
  <c r="D39" i="8"/>
  <c r="B39" i="8"/>
  <c r="D38" i="8"/>
  <c r="B38" i="8"/>
  <c r="D37" i="8"/>
  <c r="B37" i="8"/>
  <c r="D36" i="8"/>
  <c r="B36" i="8"/>
  <c r="D35" i="8"/>
  <c r="B35" i="8"/>
  <c r="D34" i="8"/>
  <c r="B34" i="8"/>
  <c r="D33" i="8"/>
  <c r="B33" i="8"/>
  <c r="D32" i="8"/>
  <c r="B32" i="8"/>
  <c r="D31" i="8"/>
  <c r="B31" i="8"/>
  <c r="D30" i="8"/>
  <c r="B30" i="8"/>
  <c r="D29" i="8"/>
  <c r="B29" i="8"/>
  <c r="D28" i="8"/>
  <c r="B28" i="8"/>
  <c r="D27" i="8"/>
  <c r="B27" i="8"/>
  <c r="D26" i="8"/>
  <c r="B26" i="8"/>
  <c r="D25" i="8"/>
  <c r="B25" i="8"/>
  <c r="D24" i="8"/>
  <c r="B24" i="8"/>
  <c r="D23" i="8"/>
  <c r="B23" i="8"/>
  <c r="D22" i="8"/>
  <c r="B22" i="8"/>
  <c r="D21" i="8"/>
  <c r="B21" i="8"/>
  <c r="D20" i="8"/>
  <c r="B20" i="8"/>
  <c r="D19" i="8"/>
  <c r="B19" i="8"/>
  <c r="D18" i="8"/>
  <c r="B18" i="8"/>
  <c r="D17" i="8"/>
  <c r="B17" i="8"/>
  <c r="F14" i="7"/>
  <c r="E14" i="7"/>
  <c r="D14" i="7"/>
  <c r="C14" i="7"/>
  <c r="F12" i="7"/>
  <c r="E12" i="7"/>
  <c r="D12" i="7"/>
  <c r="C12" i="7"/>
  <c r="F11" i="7"/>
  <c r="E11" i="7"/>
  <c r="D11" i="7"/>
  <c r="C11" i="7"/>
  <c r="F9" i="7"/>
  <c r="E9" i="7"/>
  <c r="D9" i="7"/>
  <c r="C9" i="7"/>
  <c r="F8" i="7"/>
  <c r="E8" i="7"/>
  <c r="D8" i="7"/>
  <c r="C8" i="7"/>
  <c r="F7" i="7"/>
  <c r="E7" i="7"/>
  <c r="D7" i="7"/>
  <c r="C7" i="7"/>
  <c r="F6" i="7"/>
  <c r="E6" i="7"/>
  <c r="D6" i="7"/>
  <c r="C6" i="7"/>
  <c r="F5" i="7"/>
  <c r="E5" i="7"/>
  <c r="D5" i="7"/>
  <c r="C5" i="7"/>
  <c r="H63" i="5"/>
  <c r="D63" i="5"/>
  <c r="B63" i="5"/>
  <c r="H62" i="5"/>
  <c r="D62" i="5"/>
  <c r="B62" i="5"/>
  <c r="H61" i="5"/>
  <c r="D61" i="5"/>
  <c r="B61" i="5"/>
  <c r="H60" i="5"/>
  <c r="D60" i="5"/>
  <c r="B60" i="5"/>
  <c r="H59" i="5"/>
  <c r="D59" i="5"/>
  <c r="B59" i="5"/>
  <c r="H58" i="5"/>
  <c r="D58" i="5"/>
  <c r="B58" i="5"/>
  <c r="H57" i="5"/>
  <c r="D57" i="5"/>
  <c r="B57" i="5"/>
  <c r="H56" i="5"/>
  <c r="D56" i="5"/>
  <c r="B56" i="5"/>
  <c r="H55" i="5"/>
  <c r="D55" i="5"/>
  <c r="B55" i="5"/>
  <c r="H54" i="5"/>
  <c r="D54" i="5"/>
  <c r="B54" i="5"/>
  <c r="H53" i="5"/>
  <c r="D53" i="5"/>
  <c r="B53" i="5"/>
  <c r="H52" i="5"/>
  <c r="D52" i="5"/>
  <c r="B52" i="5"/>
  <c r="H51" i="5"/>
  <c r="D51" i="5"/>
  <c r="B51" i="5"/>
  <c r="H50" i="5"/>
  <c r="D50" i="5"/>
  <c r="B50" i="5"/>
  <c r="H49" i="5"/>
  <c r="D49" i="5"/>
  <c r="B49" i="5"/>
  <c r="H48" i="5"/>
  <c r="D48" i="5"/>
  <c r="B48" i="5"/>
  <c r="H47" i="5"/>
  <c r="D47" i="5"/>
  <c r="B47" i="5"/>
  <c r="H46" i="5"/>
  <c r="D46" i="5"/>
  <c r="B46" i="5"/>
  <c r="H45" i="5"/>
  <c r="D45" i="5"/>
  <c r="B45" i="5"/>
  <c r="H44" i="5"/>
  <c r="D44" i="5"/>
  <c r="B44" i="5"/>
  <c r="H43" i="5"/>
  <c r="D43" i="5"/>
  <c r="B43" i="5"/>
  <c r="H42" i="5"/>
  <c r="D42" i="5"/>
  <c r="B42" i="5"/>
  <c r="H41" i="5"/>
  <c r="D41" i="5"/>
  <c r="B41" i="5"/>
  <c r="H40" i="5"/>
  <c r="D40" i="5"/>
  <c r="B40" i="5"/>
  <c r="H39" i="5"/>
  <c r="D39" i="5"/>
  <c r="B39" i="5"/>
  <c r="H38" i="5"/>
  <c r="D38" i="5"/>
  <c r="B38" i="5"/>
  <c r="H37" i="5"/>
  <c r="D37" i="5"/>
  <c r="B37" i="5"/>
  <c r="H36" i="5"/>
  <c r="D36" i="5"/>
  <c r="B36" i="5"/>
  <c r="H35" i="5"/>
  <c r="D35" i="5"/>
  <c r="B35" i="5"/>
  <c r="H34" i="5"/>
  <c r="D34" i="5"/>
  <c r="B34" i="5"/>
  <c r="H33" i="5"/>
  <c r="D33" i="5"/>
  <c r="B33" i="5"/>
  <c r="H32" i="5"/>
  <c r="D32" i="5"/>
  <c r="B32" i="5"/>
  <c r="H31" i="5"/>
  <c r="D31" i="5"/>
  <c r="B31" i="5"/>
  <c r="H30" i="5"/>
  <c r="D30" i="5"/>
  <c r="B30" i="5"/>
  <c r="H29" i="5"/>
  <c r="D29" i="5"/>
  <c r="B29" i="5"/>
  <c r="H28" i="5"/>
  <c r="D28" i="5"/>
  <c r="B28" i="5"/>
  <c r="H27" i="5"/>
  <c r="D27" i="5"/>
  <c r="B27" i="5"/>
  <c r="H26" i="5"/>
  <c r="D26" i="5"/>
  <c r="B26" i="5"/>
  <c r="H25" i="5"/>
  <c r="D25" i="5"/>
  <c r="B25" i="5"/>
  <c r="H24" i="5"/>
  <c r="D24" i="5"/>
  <c r="B24" i="5"/>
  <c r="H23" i="5"/>
  <c r="D23" i="5"/>
  <c r="B23" i="5"/>
  <c r="H22" i="5"/>
  <c r="D22" i="5"/>
  <c r="B22" i="5"/>
  <c r="H21" i="5"/>
  <c r="D21" i="5"/>
  <c r="B21" i="5"/>
  <c r="H20" i="5"/>
  <c r="D20" i="5"/>
  <c r="B20" i="5"/>
  <c r="H19" i="5"/>
  <c r="D19" i="5"/>
  <c r="B19" i="5"/>
  <c r="H18" i="5"/>
  <c r="D18" i="5"/>
  <c r="B18" i="5"/>
  <c r="H17" i="5"/>
  <c r="D17" i="5"/>
  <c r="B17" i="5"/>
  <c r="H16" i="5"/>
  <c r="D16" i="5"/>
  <c r="B16" i="5"/>
  <c r="H15" i="5"/>
  <c r="D15" i="5"/>
  <c r="B15" i="5"/>
  <c r="H14" i="5"/>
  <c r="D14" i="5"/>
  <c r="B14" i="5"/>
  <c r="H13" i="5"/>
  <c r="D13" i="5"/>
  <c r="B13" i="5"/>
  <c r="H12" i="5"/>
  <c r="D12" i="5"/>
  <c r="B12" i="5"/>
  <c r="H11" i="5"/>
  <c r="D11" i="5"/>
  <c r="B11" i="5"/>
  <c r="H10" i="5"/>
  <c r="D10" i="5"/>
  <c r="B10" i="5"/>
  <c r="H9" i="5"/>
  <c r="D9" i="5"/>
  <c r="B9" i="5"/>
  <c r="H8" i="5"/>
  <c r="D8" i="5"/>
  <c r="B8" i="5"/>
  <c r="H7" i="5"/>
  <c r="D7" i="5"/>
  <c r="B7" i="5"/>
  <c r="H6" i="5"/>
  <c r="D6" i="5"/>
  <c r="B6" i="5"/>
  <c r="H5" i="5"/>
  <c r="D5" i="5"/>
  <c r="B5" i="5"/>
  <c r="H4" i="5"/>
  <c r="D4" i="5"/>
  <c r="C4" i="5"/>
  <c r="B4" i="5"/>
  <c r="B29" i="4"/>
  <c r="B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B50" i="3"/>
  <c r="B21" i="1"/>
  <c r="B20" i="1"/>
  <c r="B4" i="1"/>
  <c r="B28" i="12" l="1"/>
  <c r="B27" i="12"/>
  <c r="B25" i="12"/>
  <c r="B24" i="12"/>
  <c r="B26" i="12"/>
  <c r="B28" i="1"/>
  <c r="B5" i="1"/>
  <c r="B14" i="9"/>
  <c r="B7" i="9"/>
  <c r="B49" i="14"/>
  <c r="F22" i="14"/>
  <c r="E22" i="14"/>
  <c r="D22" i="14"/>
  <c r="C22" i="14"/>
  <c r="B22" i="14"/>
  <c r="B23" i="12" s="1"/>
  <c r="B24" i="1" s="1"/>
  <c r="B46" i="12"/>
  <c r="B42" i="1" s="1"/>
  <c r="B44" i="12"/>
  <c r="B40" i="12"/>
  <c r="E10" i="12"/>
  <c r="E9" i="12"/>
  <c r="E8" i="12"/>
  <c r="E7" i="12"/>
  <c r="E6" i="12"/>
  <c r="F4" i="10"/>
  <c r="B11" i="9"/>
  <c r="B8" i="9"/>
  <c r="B6" i="9"/>
  <c r="E76" i="8"/>
  <c r="F76" i="8" s="1"/>
  <c r="C76" i="8"/>
  <c r="E75" i="8"/>
  <c r="F75" i="8" s="1"/>
  <c r="C75" i="8"/>
  <c r="E74" i="8"/>
  <c r="F74" i="8" s="1"/>
  <c r="C74" i="8"/>
  <c r="E73" i="8"/>
  <c r="F73" i="8" s="1"/>
  <c r="C73" i="8"/>
  <c r="E72" i="8"/>
  <c r="F72" i="8" s="1"/>
  <c r="C72" i="8"/>
  <c r="E71" i="8"/>
  <c r="F71" i="8" s="1"/>
  <c r="C71" i="8"/>
  <c r="E70" i="8"/>
  <c r="F70" i="8" s="1"/>
  <c r="C70" i="8"/>
  <c r="E69" i="8"/>
  <c r="F69" i="8" s="1"/>
  <c r="C69" i="8"/>
  <c r="E68" i="8"/>
  <c r="F68" i="8" s="1"/>
  <c r="C68" i="8"/>
  <c r="E67" i="8"/>
  <c r="F67" i="8" s="1"/>
  <c r="C67" i="8"/>
  <c r="E66" i="8"/>
  <c r="F66" i="8" s="1"/>
  <c r="C66" i="8"/>
  <c r="E65" i="8"/>
  <c r="C65" i="8"/>
  <c r="E64" i="8"/>
  <c r="F64" i="8" s="1"/>
  <c r="C64" i="8"/>
  <c r="E63" i="8"/>
  <c r="F63" i="8" s="1"/>
  <c r="C63" i="8"/>
  <c r="E62" i="8"/>
  <c r="F62" i="8" s="1"/>
  <c r="C62" i="8"/>
  <c r="E61" i="8"/>
  <c r="F61" i="8" s="1"/>
  <c r="C61" i="8"/>
  <c r="E60" i="8"/>
  <c r="F60" i="8" s="1"/>
  <c r="C60" i="8"/>
  <c r="E59" i="8"/>
  <c r="F59" i="8" s="1"/>
  <c r="C59" i="8"/>
  <c r="E58" i="8"/>
  <c r="F58" i="8" s="1"/>
  <c r="C58" i="8"/>
  <c r="E57" i="8"/>
  <c r="F57" i="8" s="1"/>
  <c r="C57" i="8"/>
  <c r="E56" i="8"/>
  <c r="F56" i="8" s="1"/>
  <c r="C56" i="8"/>
  <c r="E55" i="8"/>
  <c r="F55" i="8" s="1"/>
  <c r="C55" i="8"/>
  <c r="E54" i="8"/>
  <c r="F54" i="8" s="1"/>
  <c r="C54" i="8"/>
  <c r="E53" i="8"/>
  <c r="C53" i="8"/>
  <c r="E52" i="8"/>
  <c r="F52" i="8" s="1"/>
  <c r="C52" i="8"/>
  <c r="E51" i="8"/>
  <c r="F51" i="8" s="1"/>
  <c r="C51" i="8"/>
  <c r="E50" i="8"/>
  <c r="F50" i="8" s="1"/>
  <c r="C50" i="8"/>
  <c r="E49" i="8"/>
  <c r="F49" i="8" s="1"/>
  <c r="C49" i="8"/>
  <c r="E48" i="8"/>
  <c r="F48" i="8" s="1"/>
  <c r="C48" i="8"/>
  <c r="E47" i="8"/>
  <c r="F47" i="8" s="1"/>
  <c r="C47" i="8"/>
  <c r="E46" i="8"/>
  <c r="F46" i="8" s="1"/>
  <c r="C46" i="8"/>
  <c r="E45" i="8"/>
  <c r="F45" i="8" s="1"/>
  <c r="C45" i="8"/>
  <c r="E44" i="8"/>
  <c r="F44" i="8" s="1"/>
  <c r="C44" i="8"/>
  <c r="E43" i="8"/>
  <c r="F43" i="8" s="1"/>
  <c r="C43" i="8"/>
  <c r="E42" i="8"/>
  <c r="F42" i="8" s="1"/>
  <c r="C42" i="8"/>
  <c r="E41" i="8"/>
  <c r="C41" i="8"/>
  <c r="E40" i="8"/>
  <c r="F40" i="8" s="1"/>
  <c r="C40" i="8"/>
  <c r="E39" i="8"/>
  <c r="F39" i="8" s="1"/>
  <c r="C39" i="8"/>
  <c r="E38" i="8"/>
  <c r="F38" i="8" s="1"/>
  <c r="C38" i="8"/>
  <c r="E37" i="8"/>
  <c r="F37" i="8" s="1"/>
  <c r="C37" i="8"/>
  <c r="E36" i="8"/>
  <c r="F36" i="8" s="1"/>
  <c r="C36" i="8"/>
  <c r="E35" i="8"/>
  <c r="F35" i="8" s="1"/>
  <c r="C35" i="8"/>
  <c r="E34" i="8"/>
  <c r="F34" i="8" s="1"/>
  <c r="C34" i="8"/>
  <c r="E33" i="8"/>
  <c r="F33" i="8" s="1"/>
  <c r="C33" i="8"/>
  <c r="E32" i="8"/>
  <c r="F32" i="8" s="1"/>
  <c r="C32" i="8"/>
  <c r="E31" i="8"/>
  <c r="F31" i="8" s="1"/>
  <c r="C31" i="8"/>
  <c r="E30" i="8"/>
  <c r="F30" i="8" s="1"/>
  <c r="C30" i="8"/>
  <c r="E29" i="8"/>
  <c r="C29" i="8"/>
  <c r="E28" i="8"/>
  <c r="F28" i="8" s="1"/>
  <c r="C28" i="8"/>
  <c r="E27" i="8"/>
  <c r="F27" i="8" s="1"/>
  <c r="C27" i="8"/>
  <c r="E26" i="8"/>
  <c r="F26" i="8" s="1"/>
  <c r="C26" i="8"/>
  <c r="E25" i="8"/>
  <c r="F25" i="8" s="1"/>
  <c r="C25" i="8"/>
  <c r="E24" i="8"/>
  <c r="F24" i="8" s="1"/>
  <c r="C24" i="8"/>
  <c r="E23" i="8"/>
  <c r="F23" i="8" s="1"/>
  <c r="C23" i="8"/>
  <c r="E22" i="8"/>
  <c r="F22" i="8" s="1"/>
  <c r="C22" i="8"/>
  <c r="E21" i="8"/>
  <c r="F21" i="8" s="1"/>
  <c r="C21" i="8"/>
  <c r="E20" i="8"/>
  <c r="F20" i="8" s="1"/>
  <c r="C20" i="8"/>
  <c r="E19" i="8"/>
  <c r="F19" i="8" s="1"/>
  <c r="C19" i="8"/>
  <c r="E18" i="8"/>
  <c r="F18" i="8" s="1"/>
  <c r="C18" i="8"/>
  <c r="E17" i="8"/>
  <c r="C17" i="8"/>
  <c r="E63" i="5"/>
  <c r="G63" i="5" s="1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H11" i="4"/>
  <c r="G11" i="4"/>
  <c r="E11" i="4"/>
  <c r="D11" i="4"/>
  <c r="C11" i="4"/>
  <c r="B9" i="9" l="1"/>
  <c r="B26" i="1"/>
  <c r="B25" i="1"/>
  <c r="B27" i="1"/>
  <c r="C14" i="9"/>
  <c r="D14" i="9"/>
  <c r="F20" i="5"/>
  <c r="F14" i="5"/>
  <c r="F7" i="5"/>
  <c r="B44" i="14"/>
  <c r="B39" i="1"/>
  <c r="I5" i="12"/>
  <c r="B6" i="1"/>
  <c r="F65" i="8"/>
  <c r="C10" i="12" s="1"/>
  <c r="E8" i="6"/>
  <c r="F53" i="8"/>
  <c r="C9" i="12" s="1"/>
  <c r="E7" i="6"/>
  <c r="F41" i="8"/>
  <c r="C8" i="12" s="1"/>
  <c r="E6" i="6"/>
  <c r="F29" i="8"/>
  <c r="C7" i="12" s="1"/>
  <c r="E5" i="6"/>
  <c r="F17" i="8"/>
  <c r="C6" i="12" s="1"/>
  <c r="E4" i="6"/>
  <c r="G62" i="5"/>
  <c r="C63" i="5"/>
  <c r="G61" i="5"/>
  <c r="C62" i="5"/>
  <c r="G60" i="5"/>
  <c r="C61" i="5"/>
  <c r="G59" i="5"/>
  <c r="C60" i="5"/>
  <c r="G58" i="5"/>
  <c r="C59" i="5"/>
  <c r="G57" i="5"/>
  <c r="C58" i="5"/>
  <c r="G56" i="5"/>
  <c r="C57" i="5"/>
  <c r="G55" i="5"/>
  <c r="C56" i="5"/>
  <c r="G54" i="5"/>
  <c r="C55" i="5"/>
  <c r="G53" i="5"/>
  <c r="C54" i="5"/>
  <c r="G52" i="5"/>
  <c r="C53" i="5"/>
  <c r="G51" i="5"/>
  <c r="C52" i="5"/>
  <c r="G50" i="5"/>
  <c r="C51" i="5"/>
  <c r="G49" i="5"/>
  <c r="C50" i="5"/>
  <c r="G48" i="5"/>
  <c r="C49" i="5"/>
  <c r="G47" i="5"/>
  <c r="C48" i="5"/>
  <c r="G46" i="5"/>
  <c r="C47" i="5"/>
  <c r="G45" i="5"/>
  <c r="C46" i="5"/>
  <c r="G44" i="5"/>
  <c r="C45" i="5"/>
  <c r="G43" i="5"/>
  <c r="C44" i="5"/>
  <c r="G42" i="5"/>
  <c r="C43" i="5"/>
  <c r="G41" i="5"/>
  <c r="C42" i="5"/>
  <c r="G40" i="5"/>
  <c r="C41" i="5"/>
  <c r="G39" i="5"/>
  <c r="C40" i="5"/>
  <c r="G38" i="5"/>
  <c r="C39" i="5"/>
  <c r="G37" i="5"/>
  <c r="C38" i="5"/>
  <c r="G36" i="5"/>
  <c r="C37" i="5"/>
  <c r="G35" i="5"/>
  <c r="C36" i="5"/>
  <c r="G34" i="5"/>
  <c r="C35" i="5"/>
  <c r="G33" i="5"/>
  <c r="C34" i="5"/>
  <c r="G32" i="5"/>
  <c r="C33" i="5"/>
  <c r="G31" i="5"/>
  <c r="C32" i="5"/>
  <c r="G30" i="5"/>
  <c r="C31" i="5"/>
  <c r="G29" i="5"/>
  <c r="C30" i="5"/>
  <c r="G28" i="5"/>
  <c r="C29" i="5"/>
  <c r="G27" i="5"/>
  <c r="C28" i="5"/>
  <c r="G26" i="5"/>
  <c r="C27" i="5"/>
  <c r="G25" i="5"/>
  <c r="C26" i="5"/>
  <c r="G24" i="5"/>
  <c r="C25" i="5"/>
  <c r="G23" i="5"/>
  <c r="C24" i="5"/>
  <c r="G22" i="5"/>
  <c r="C23" i="5"/>
  <c r="G21" i="5"/>
  <c r="C22" i="5"/>
  <c r="G20" i="5"/>
  <c r="C21" i="5"/>
  <c r="G19" i="5"/>
  <c r="C20" i="5"/>
  <c r="G18" i="5"/>
  <c r="C19" i="5"/>
  <c r="G17" i="5"/>
  <c r="C18" i="5"/>
  <c r="G16" i="5"/>
  <c r="C17" i="5"/>
  <c r="G15" i="5"/>
  <c r="C16" i="5"/>
  <c r="G14" i="5"/>
  <c r="C15" i="5"/>
  <c r="G13" i="5"/>
  <c r="C14" i="5"/>
  <c r="G12" i="5"/>
  <c r="C13" i="5"/>
  <c r="G11" i="5"/>
  <c r="C12" i="5"/>
  <c r="G10" i="5"/>
  <c r="C11" i="5"/>
  <c r="G9" i="5"/>
  <c r="C10" i="5"/>
  <c r="G8" i="5"/>
  <c r="C9" i="5"/>
  <c r="G7" i="5"/>
  <c r="C8" i="5"/>
  <c r="G6" i="5"/>
  <c r="C7" i="5"/>
  <c r="G5" i="5"/>
  <c r="C6" i="5"/>
  <c r="G4" i="5"/>
  <c r="C5" i="5"/>
  <c r="F11" i="4"/>
  <c r="B30" i="4"/>
  <c r="B31" i="4" s="1"/>
  <c r="I4" i="5"/>
  <c r="J4" i="5" s="1"/>
  <c r="I5" i="5"/>
  <c r="J5" i="5" s="1"/>
  <c r="I6" i="5"/>
  <c r="I7" i="5"/>
  <c r="J7" i="5" s="1"/>
  <c r="I8" i="5"/>
  <c r="J8" i="5" s="1"/>
  <c r="I9" i="5"/>
  <c r="J9" i="5" s="1"/>
  <c r="I10" i="5"/>
  <c r="I11" i="5"/>
  <c r="J11" i="5" s="1"/>
  <c r="I12" i="5"/>
  <c r="J12" i="5" s="1"/>
  <c r="I13" i="5"/>
  <c r="J13" i="5" s="1"/>
  <c r="I14" i="5"/>
  <c r="J14" i="5" s="1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J63" i="5" s="1"/>
  <c r="F58" i="5"/>
  <c r="F57" i="5"/>
  <c r="F54" i="5"/>
  <c r="F51" i="5"/>
  <c r="F49" i="5"/>
  <c r="F48" i="5"/>
  <c r="F46" i="5"/>
  <c r="F43" i="5"/>
  <c r="F42" i="5"/>
  <c r="F34" i="5"/>
  <c r="F33" i="5"/>
  <c r="F29" i="5"/>
  <c r="F21" i="5"/>
  <c r="F19" i="5"/>
  <c r="F18" i="5"/>
  <c r="F17" i="5"/>
  <c r="F16" i="5"/>
  <c r="F15" i="5"/>
  <c r="F13" i="5"/>
  <c r="F11" i="5"/>
  <c r="F61" i="5"/>
  <c r="F59" i="5"/>
  <c r="F50" i="5"/>
  <c r="F45" i="5"/>
  <c r="F44" i="5"/>
  <c r="F37" i="5"/>
  <c r="F35" i="5"/>
  <c r="F32" i="5"/>
  <c r="F31" i="5"/>
  <c r="F30" i="5"/>
  <c r="F28" i="5"/>
  <c r="F27" i="5"/>
  <c r="F26" i="5"/>
  <c r="F25" i="5"/>
  <c r="F23" i="5"/>
  <c r="F22" i="5"/>
  <c r="F10" i="5"/>
  <c r="F9" i="5"/>
  <c r="F8" i="5"/>
  <c r="F6" i="5"/>
  <c r="F4" i="5"/>
  <c r="B39" i="12"/>
  <c r="B43" i="12"/>
  <c r="F63" i="5"/>
  <c r="F62" i="5"/>
  <c r="F60" i="5"/>
  <c r="F56" i="5"/>
  <c r="F55" i="5"/>
  <c r="F53" i="5"/>
  <c r="F52" i="5"/>
  <c r="F47" i="5"/>
  <c r="F41" i="5"/>
  <c r="F40" i="5"/>
  <c r="F39" i="5"/>
  <c r="F38" i="5"/>
  <c r="F36" i="5"/>
  <c r="F24" i="5"/>
  <c r="F12" i="5"/>
  <c r="F5" i="5"/>
  <c r="J10" i="5" l="1"/>
  <c r="J15" i="5"/>
  <c r="J16" i="5"/>
  <c r="J6" i="5"/>
  <c r="J17" i="5"/>
  <c r="E14" i="9"/>
  <c r="F14" i="9" s="1"/>
  <c r="J14" i="9" s="1"/>
  <c r="B15" i="9" s="1"/>
  <c r="B6" i="6"/>
  <c r="B4" i="6"/>
  <c r="B8" i="6"/>
  <c r="B7" i="6"/>
  <c r="J34" i="5"/>
  <c r="J35" i="5"/>
  <c r="J36" i="5"/>
  <c r="J37" i="5"/>
  <c r="J38" i="5"/>
  <c r="J39" i="5"/>
  <c r="J40" i="5"/>
  <c r="J41" i="5"/>
  <c r="J42" i="5"/>
  <c r="J43" i="5"/>
  <c r="J44" i="5"/>
  <c r="J45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46" i="5"/>
  <c r="J47" i="5"/>
  <c r="J61" i="5"/>
  <c r="J62" i="5"/>
  <c r="B5" i="6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K8" i="5"/>
  <c r="B14" i="12"/>
  <c r="B4" i="11" s="1"/>
  <c r="K4" i="5"/>
  <c r="K5" i="5"/>
  <c r="K7" i="5"/>
  <c r="K9" i="5"/>
  <c r="K11" i="5"/>
  <c r="K12" i="5"/>
  <c r="K13" i="5"/>
  <c r="K14" i="5"/>
  <c r="K63" i="5"/>
  <c r="B38" i="1"/>
  <c r="B43" i="14"/>
  <c r="K10" i="5" l="1"/>
  <c r="C4" i="6"/>
  <c r="K6" i="5"/>
  <c r="K15" i="5"/>
  <c r="K16" i="5"/>
  <c r="K17" i="5"/>
  <c r="D15" i="9"/>
  <c r="C15" i="9"/>
  <c r="K35" i="5"/>
  <c r="K36" i="5"/>
  <c r="K37" i="5"/>
  <c r="K38" i="5"/>
  <c r="K39" i="5"/>
  <c r="K40" i="5"/>
  <c r="K41" i="5"/>
  <c r="K42" i="5"/>
  <c r="K43" i="5"/>
  <c r="K44" i="5"/>
  <c r="K45" i="5"/>
  <c r="K34" i="5"/>
  <c r="L8" i="5"/>
  <c r="C5" i="6"/>
  <c r="K18" i="5"/>
  <c r="K19" i="5"/>
  <c r="K20" i="5"/>
  <c r="K21" i="5"/>
  <c r="K22" i="5"/>
  <c r="K23" i="5"/>
  <c r="K24" i="5"/>
  <c r="K25" i="5"/>
  <c r="K26" i="5"/>
  <c r="K27" i="5"/>
  <c r="C6" i="6"/>
  <c r="K28" i="5"/>
  <c r="K29" i="5"/>
  <c r="K30" i="5"/>
  <c r="K31" i="5"/>
  <c r="K32" i="5"/>
  <c r="K33" i="5"/>
  <c r="K46" i="5"/>
  <c r="K47" i="5"/>
  <c r="K61" i="5"/>
  <c r="K62" i="5"/>
  <c r="C7" i="6"/>
  <c r="K48" i="5"/>
  <c r="K49" i="5"/>
  <c r="K50" i="5"/>
  <c r="K51" i="5"/>
  <c r="C8" i="6"/>
  <c r="K52" i="5"/>
  <c r="K53" i="5"/>
  <c r="K54" i="5"/>
  <c r="K55" i="5"/>
  <c r="K56" i="5"/>
  <c r="K57" i="5"/>
  <c r="K58" i="5"/>
  <c r="K59" i="5"/>
  <c r="K60" i="5"/>
  <c r="B5" i="11"/>
  <c r="E19" i="11" s="1"/>
  <c r="L4" i="5"/>
  <c r="L7" i="5"/>
  <c r="L11" i="5"/>
  <c r="L12" i="5"/>
  <c r="L63" i="5"/>
  <c r="L9" i="5"/>
  <c r="L13" i="5"/>
  <c r="L5" i="5"/>
  <c r="L14" i="5"/>
  <c r="L10" i="5" l="1"/>
  <c r="L6" i="5"/>
  <c r="D4" i="6"/>
  <c r="F4" i="6" s="1"/>
  <c r="L15" i="5"/>
  <c r="L16" i="5"/>
  <c r="L17" i="5"/>
  <c r="E15" i="9"/>
  <c r="F15" i="9" s="1"/>
  <c r="J15" i="9" s="1"/>
  <c r="B16" i="9" s="1"/>
  <c r="L35" i="5"/>
  <c r="L36" i="5"/>
  <c r="L37" i="5"/>
  <c r="L38" i="5"/>
  <c r="L39" i="5"/>
  <c r="L42" i="5"/>
  <c r="L40" i="5"/>
  <c r="L43" i="5"/>
  <c r="L41" i="5"/>
  <c r="L34" i="5"/>
  <c r="L44" i="5"/>
  <c r="L45" i="5"/>
  <c r="L25" i="5"/>
  <c r="B6" i="11"/>
  <c r="D5" i="6"/>
  <c r="F5" i="6" s="1"/>
  <c r="L23" i="5"/>
  <c r="L26" i="5"/>
  <c r="L27" i="5"/>
  <c r="L28" i="5"/>
  <c r="D6" i="6"/>
  <c r="F6" i="6" s="1"/>
  <c r="L29" i="5"/>
  <c r="L30" i="5"/>
  <c r="L31" i="5"/>
  <c r="L32" i="5"/>
  <c r="L33" i="5"/>
  <c r="L46" i="5"/>
  <c r="L62" i="5"/>
  <c r="L19" i="5"/>
  <c r="L20" i="5"/>
  <c r="L21" i="5"/>
  <c r="L24" i="5"/>
  <c r="L61" i="5"/>
  <c r="L18" i="5"/>
  <c r="L22" i="5"/>
  <c r="L47" i="5"/>
  <c r="D7" i="6"/>
  <c r="F7" i="6" s="1"/>
  <c r="L48" i="5"/>
  <c r="D8" i="6"/>
  <c r="F8" i="6" s="1"/>
  <c r="L54" i="5"/>
  <c r="L51" i="5"/>
  <c r="L52" i="5"/>
  <c r="L53" i="5"/>
  <c r="L55" i="5"/>
  <c r="L56" i="5"/>
  <c r="L57" i="5"/>
  <c r="L58" i="5"/>
  <c r="L49" i="5"/>
  <c r="L50" i="5"/>
  <c r="L59" i="5"/>
  <c r="L60" i="5"/>
  <c r="B5" i="10" l="1"/>
  <c r="D5" i="10" s="1"/>
  <c r="F5" i="10" s="1"/>
  <c r="F6" i="12" s="1"/>
  <c r="G14" i="7"/>
  <c r="B13" i="7"/>
  <c r="G12" i="7"/>
  <c r="G11" i="7"/>
  <c r="B10" i="7"/>
  <c r="G9" i="7"/>
  <c r="G8" i="7"/>
  <c r="G7" i="7"/>
  <c r="G6" i="7"/>
  <c r="G5" i="7"/>
  <c r="D16" i="9"/>
  <c r="C16" i="9"/>
  <c r="D19" i="11"/>
  <c r="B6" i="10"/>
  <c r="D6" i="10" s="1"/>
  <c r="F6" i="10" s="1"/>
  <c r="F7" i="12" s="1"/>
  <c r="G5" i="6"/>
  <c r="B7" i="10"/>
  <c r="D7" i="10" s="1"/>
  <c r="F7" i="10" s="1"/>
  <c r="F8" i="12" s="1"/>
  <c r="G6" i="6"/>
  <c r="B8" i="10"/>
  <c r="D8" i="10" s="1"/>
  <c r="F8" i="10" s="1"/>
  <c r="F9" i="12" s="1"/>
  <c r="G7" i="6"/>
  <c r="B9" i="10"/>
  <c r="D9" i="10" s="1"/>
  <c r="F9" i="10" s="1"/>
  <c r="F10" i="12" s="1"/>
  <c r="G8" i="6"/>
  <c r="C13" i="7" l="1"/>
  <c r="D13" i="7"/>
  <c r="E13" i="7"/>
  <c r="F13" i="7"/>
  <c r="G13" i="7"/>
  <c r="C10" i="7"/>
  <c r="D10" i="7"/>
  <c r="E10" i="7"/>
  <c r="F10" i="7"/>
  <c r="G10" i="7"/>
  <c r="B15" i="7"/>
  <c r="E16" i="9"/>
  <c r="F16" i="9" s="1"/>
  <c r="J16" i="9" s="1"/>
  <c r="B17" i="9" s="1"/>
  <c r="G15" i="7" l="1"/>
  <c r="B17" i="7"/>
  <c r="C15" i="7"/>
  <c r="C17" i="7" s="1"/>
  <c r="B7" i="12" s="1"/>
  <c r="D15" i="7"/>
  <c r="D17" i="7" s="1"/>
  <c r="B8" i="12" s="1"/>
  <c r="E15" i="7"/>
  <c r="E17" i="7" s="1"/>
  <c r="B9" i="12" s="1"/>
  <c r="F15" i="7"/>
  <c r="D17" i="9"/>
  <c r="C17" i="9"/>
  <c r="C15" i="13" l="1"/>
  <c r="D15" i="13"/>
  <c r="B20" i="12"/>
  <c r="B13" i="1" s="1"/>
  <c r="B19" i="1" s="1"/>
  <c r="B19" i="12"/>
  <c r="B12" i="1" s="1"/>
  <c r="B18" i="1" s="1"/>
  <c r="B7" i="1"/>
  <c r="B41" i="12"/>
  <c r="B6" i="12"/>
  <c r="G17" i="7"/>
  <c r="E15" i="13"/>
  <c r="F15" i="13"/>
  <c r="B16" i="13"/>
  <c r="C16" i="13"/>
  <c r="D16" i="13"/>
  <c r="B15" i="13"/>
  <c r="E16" i="13"/>
  <c r="F16" i="13"/>
  <c r="B17" i="13"/>
  <c r="C17" i="13"/>
  <c r="D17" i="13"/>
  <c r="E17" i="13"/>
  <c r="F17" i="13"/>
  <c r="B18" i="13"/>
  <c r="C18" i="13"/>
  <c r="D18" i="13"/>
  <c r="E18" i="13"/>
  <c r="F18" i="13"/>
  <c r="B19" i="13"/>
  <c r="C19" i="13"/>
  <c r="D19" i="13"/>
  <c r="E19" i="13"/>
  <c r="F19" i="13"/>
  <c r="F17" i="7"/>
  <c r="E17" i="9"/>
  <c r="F17" i="9" s="1"/>
  <c r="J17" i="9" s="1"/>
  <c r="B18" i="9" s="1"/>
  <c r="B45" i="14" l="1"/>
  <c r="B41" i="1"/>
  <c r="B8" i="1"/>
  <c r="F9" i="13"/>
  <c r="E9" i="13"/>
  <c r="D9" i="13"/>
  <c r="C9" i="13"/>
  <c r="B9" i="13"/>
  <c r="F8" i="13"/>
  <c r="E8" i="13"/>
  <c r="D8" i="13"/>
  <c r="C8" i="13"/>
  <c r="C7" i="13"/>
  <c r="B7" i="13"/>
  <c r="F6" i="13"/>
  <c r="E6" i="13"/>
  <c r="D6" i="13"/>
  <c r="C6" i="13"/>
  <c r="B6" i="13"/>
  <c r="F5" i="13"/>
  <c r="E5" i="13"/>
  <c r="D5" i="13"/>
  <c r="C5" i="13"/>
  <c r="B5" i="13"/>
  <c r="B42" i="12"/>
  <c r="B10" i="12"/>
  <c r="B8" i="13"/>
  <c r="F7" i="13"/>
  <c r="E7" i="13"/>
  <c r="D7" i="13"/>
  <c r="D18" i="9"/>
  <c r="C18" i="9"/>
  <c r="B46" i="14" l="1"/>
  <c r="B40" i="1"/>
  <c r="B15" i="12"/>
  <c r="B14" i="1" s="1"/>
  <c r="B35" i="12"/>
  <c r="E18" i="9"/>
  <c r="B36" i="12" l="1"/>
  <c r="B34" i="1"/>
  <c r="B47" i="14"/>
  <c r="F18" i="9"/>
  <c r="J18" i="9" s="1"/>
  <c r="B19" i="9" s="1"/>
  <c r="B35" i="1" l="1"/>
  <c r="B48" i="14"/>
  <c r="D19" i="9"/>
  <c r="C19" i="9"/>
  <c r="E19" i="9" l="1"/>
  <c r="F19" i="9" l="1"/>
  <c r="J19" i="9" s="1"/>
  <c r="B20" i="9" s="1"/>
  <c r="C20" i="9" l="1"/>
  <c r="D20" i="9"/>
  <c r="E20" i="9" l="1"/>
  <c r="F20" i="9" s="1"/>
  <c r="J20" i="9" s="1"/>
  <c r="B21" i="9" s="1"/>
  <c r="D21" i="9" l="1"/>
  <c r="C21" i="9"/>
  <c r="E21" i="9" l="1"/>
  <c r="F21" i="9" s="1"/>
  <c r="J21" i="9" s="1"/>
  <c r="B22" i="9" s="1"/>
  <c r="C22" i="9" l="1"/>
  <c r="D22" i="9"/>
  <c r="E22" i="9" l="1"/>
  <c r="F22" i="9" s="1"/>
  <c r="J22" i="9" s="1"/>
  <c r="B23" i="9" s="1"/>
  <c r="C23" i="9" l="1"/>
  <c r="D23" i="9"/>
  <c r="E23" i="9" l="1"/>
  <c r="F23" i="9" l="1"/>
  <c r="J23" i="9" s="1"/>
  <c r="B24" i="9" s="1"/>
  <c r="C24" i="9" l="1"/>
  <c r="D24" i="9"/>
  <c r="E24" i="9" l="1"/>
  <c r="F24" i="9" l="1"/>
  <c r="J24" i="9" s="1"/>
  <c r="B25" i="9" s="1"/>
  <c r="C25" i="9" s="1"/>
  <c r="D6" i="12" l="1"/>
  <c r="G6" i="12" s="1"/>
  <c r="D25" i="9"/>
  <c r="E25" i="9" l="1"/>
  <c r="F25" i="9" s="1"/>
  <c r="J25" i="9" s="1"/>
  <c r="B26" i="9" s="1"/>
  <c r="I6" i="12"/>
  <c r="B10" i="11" l="1"/>
  <c r="C10" i="11" s="1"/>
  <c r="C26" i="9"/>
  <c r="D26" i="9"/>
  <c r="D10" i="11" l="1"/>
  <c r="E26" i="9"/>
  <c r="F26" i="9" s="1"/>
  <c r="J26" i="9" s="1"/>
  <c r="B27" i="9" s="1"/>
  <c r="E10" i="11" l="1"/>
  <c r="D27" i="9"/>
  <c r="C27" i="9"/>
  <c r="F10" i="11" l="1"/>
  <c r="G10" i="11"/>
  <c r="E27" i="9"/>
  <c r="F27" i="9" s="1"/>
  <c r="J27" i="9" s="1"/>
  <c r="B28" i="9" s="1"/>
  <c r="H10" i="11" l="1"/>
  <c r="J10" i="11" s="1"/>
  <c r="I10" i="11"/>
  <c r="K10" i="11" s="1"/>
  <c r="C28" i="9"/>
  <c r="D28" i="9"/>
  <c r="E20" i="11" l="1"/>
  <c r="D20" i="11"/>
  <c r="E28" i="9"/>
  <c r="F28" i="9" s="1"/>
  <c r="J28" i="9" s="1"/>
  <c r="B29" i="9" s="1"/>
  <c r="D29" i="9" l="1"/>
  <c r="C29" i="9"/>
  <c r="E29" i="9" l="1"/>
  <c r="F29" i="9" s="1"/>
  <c r="J29" i="9" s="1"/>
  <c r="B30" i="9" s="1"/>
  <c r="C30" i="9" l="1"/>
  <c r="D30" i="9"/>
  <c r="E30" i="9" l="1"/>
  <c r="F30" i="9" s="1"/>
  <c r="J30" i="9" s="1"/>
  <c r="B31" i="9" s="1"/>
  <c r="D31" i="9" l="1"/>
  <c r="C31" i="9"/>
  <c r="E31" i="9" l="1"/>
  <c r="F31" i="9" s="1"/>
  <c r="J31" i="9" s="1"/>
  <c r="B32" i="9" s="1"/>
  <c r="D32" i="9" l="1"/>
  <c r="C32" i="9"/>
  <c r="E32" i="9" l="1"/>
  <c r="F32" i="9" s="1"/>
  <c r="J32" i="9" s="1"/>
  <c r="B33" i="9" s="1"/>
  <c r="D33" i="9" l="1"/>
  <c r="C33" i="9"/>
  <c r="E33" i="9" l="1"/>
  <c r="F33" i="9" l="1"/>
  <c r="J33" i="9" s="1"/>
  <c r="B34" i="9" s="1"/>
  <c r="D34" i="9" s="1"/>
  <c r="C34" i="9" l="1"/>
  <c r="E34" i="9" s="1"/>
  <c r="F34" i="9" l="1"/>
  <c r="J34" i="9" s="1"/>
  <c r="B35" i="9" s="1"/>
  <c r="C35" i="9" l="1"/>
  <c r="D35" i="9"/>
  <c r="E35" i="9" l="1"/>
  <c r="F35" i="9" s="1"/>
  <c r="J35" i="9" s="1"/>
  <c r="B36" i="9" s="1"/>
  <c r="D36" i="9" l="1"/>
  <c r="C36" i="9"/>
  <c r="E36" i="9" l="1"/>
  <c r="F36" i="9" l="1"/>
  <c r="J36" i="9" s="1"/>
  <c r="B37" i="9" s="1"/>
  <c r="C37" i="9" l="1"/>
  <c r="D37" i="9"/>
  <c r="E37" i="9" l="1"/>
  <c r="F37" i="9" s="1"/>
  <c r="J37" i="9" s="1"/>
  <c r="B38" i="9" s="1"/>
  <c r="D7" i="12"/>
  <c r="G7" i="12" s="1"/>
  <c r="I7" i="12" s="1"/>
  <c r="B11" i="11" s="1"/>
  <c r="C11" i="11" s="1"/>
  <c r="D38" i="9" l="1"/>
  <c r="C38" i="9"/>
  <c r="D11" i="11"/>
  <c r="E11" i="11" l="1"/>
  <c r="E38" i="9"/>
  <c r="F38" i="9" s="1"/>
  <c r="J38" i="9" s="1"/>
  <c r="B39" i="9" s="1"/>
  <c r="G11" i="11" l="1"/>
  <c r="F11" i="11"/>
  <c r="D39" i="9"/>
  <c r="C39" i="9"/>
  <c r="I11" i="11" l="1"/>
  <c r="K11" i="11" s="1"/>
  <c r="E21" i="11" s="1"/>
  <c r="H11" i="11"/>
  <c r="J11" i="11" s="1"/>
  <c r="D21" i="11" s="1"/>
  <c r="E39" i="9"/>
  <c r="F39" i="9" s="1"/>
  <c r="J39" i="9" s="1"/>
  <c r="B40" i="9" s="1"/>
  <c r="C40" i="9" l="1"/>
  <c r="D40" i="9"/>
  <c r="E40" i="9" l="1"/>
  <c r="F40" i="9" s="1"/>
  <c r="J40" i="9" s="1"/>
  <c r="B41" i="9" s="1"/>
  <c r="D41" i="9" l="1"/>
  <c r="C41" i="9"/>
  <c r="E41" i="9" l="1"/>
  <c r="F41" i="9" s="1"/>
  <c r="J41" i="9" s="1"/>
  <c r="B42" i="9" s="1"/>
  <c r="D42" i="9" l="1"/>
  <c r="C42" i="9"/>
  <c r="E42" i="9" l="1"/>
  <c r="F42" i="9" l="1"/>
  <c r="J42" i="9" s="1"/>
  <c r="B43" i="9" s="1"/>
  <c r="C43" i="9" l="1"/>
  <c r="D43" i="9"/>
  <c r="E43" i="9" l="1"/>
  <c r="F43" i="9" s="1"/>
  <c r="J43" i="9" s="1"/>
  <c r="B44" i="9" s="1"/>
  <c r="D44" i="9" l="1"/>
  <c r="C44" i="9"/>
  <c r="E44" i="9" l="1"/>
  <c r="F44" i="9" s="1"/>
  <c r="J44" i="9" s="1"/>
  <c r="B45" i="9" s="1"/>
  <c r="D45" i="9" l="1"/>
  <c r="C45" i="9"/>
  <c r="E45" i="9" l="1"/>
  <c r="F45" i="9" s="1"/>
  <c r="J45" i="9" s="1"/>
  <c r="B46" i="9" s="1"/>
  <c r="C46" i="9" l="1"/>
  <c r="D46" i="9"/>
  <c r="E46" i="9" l="1"/>
  <c r="F46" i="9" l="1"/>
  <c r="J46" i="9" s="1"/>
  <c r="B47" i="9" s="1"/>
  <c r="C47" i="9" l="1"/>
  <c r="D47" i="9"/>
  <c r="E47" i="9" l="1"/>
  <c r="F47" i="9" s="1"/>
  <c r="J47" i="9" s="1"/>
  <c r="B48" i="9" s="1"/>
  <c r="C48" i="9" l="1"/>
  <c r="D48" i="9"/>
  <c r="E48" i="9" l="1"/>
  <c r="F48" i="9" s="1"/>
  <c r="J48" i="9" s="1"/>
  <c r="B49" i="9" s="1"/>
  <c r="C49" i="9" l="1"/>
  <c r="D8" i="12" s="1"/>
  <c r="G8" i="12" s="1"/>
  <c r="I8" i="12" s="1"/>
  <c r="B12" i="11" s="1"/>
  <c r="D49" i="9"/>
  <c r="E49" i="9" l="1"/>
  <c r="F49" i="9" s="1"/>
  <c r="J49" i="9" s="1"/>
  <c r="B50" i="9" s="1"/>
  <c r="C12" i="11"/>
  <c r="D12" i="11" l="1"/>
  <c r="C50" i="9"/>
  <c r="D50" i="9"/>
  <c r="E12" i="11" l="1"/>
  <c r="E50" i="9"/>
  <c r="F50" i="9" s="1"/>
  <c r="J50" i="9" s="1"/>
  <c r="B51" i="9" s="1"/>
  <c r="F12" i="11" l="1"/>
  <c r="G12" i="11"/>
  <c r="D51" i="9"/>
  <c r="C51" i="9"/>
  <c r="H12" i="11" l="1"/>
  <c r="J12" i="11" s="1"/>
  <c r="D22" i="11" s="1"/>
  <c r="I12" i="11"/>
  <c r="K12" i="11" s="1"/>
  <c r="E22" i="11" s="1"/>
  <c r="E51" i="9"/>
  <c r="F51" i="9" s="1"/>
  <c r="J51" i="9" s="1"/>
  <c r="B52" i="9" s="1"/>
  <c r="D52" i="9" s="1"/>
  <c r="C52" i="9" l="1"/>
  <c r="E52" i="9" l="1"/>
  <c r="F52" i="9" s="1"/>
  <c r="J52" i="9" s="1"/>
  <c r="B53" i="9" s="1"/>
  <c r="C53" i="9" s="1"/>
  <c r="D53" i="9" l="1"/>
  <c r="E53" i="9" l="1"/>
  <c r="F53" i="9" s="1"/>
  <c r="J53" i="9" s="1"/>
  <c r="B54" i="9" s="1"/>
  <c r="D54" i="9" l="1"/>
  <c r="C54" i="9"/>
  <c r="E54" i="9" l="1"/>
  <c r="F54" i="9" s="1"/>
  <c r="J54" i="9" s="1"/>
  <c r="B55" i="9" s="1"/>
  <c r="C55" i="9" l="1"/>
  <c r="D55" i="9"/>
  <c r="E55" i="9" l="1"/>
  <c r="F55" i="9" s="1"/>
  <c r="J55" i="9" s="1"/>
  <c r="B56" i="9" s="1"/>
  <c r="D56" i="9" l="1"/>
  <c r="C56" i="9"/>
  <c r="E56" i="9" l="1"/>
  <c r="F56" i="9" s="1"/>
  <c r="J56" i="9" s="1"/>
  <c r="B57" i="9" s="1"/>
  <c r="C57" i="9" s="1"/>
  <c r="D57" i="9" l="1"/>
  <c r="E57" i="9" s="1"/>
  <c r="F57" i="9" l="1"/>
  <c r="J57" i="9" s="1"/>
  <c r="B58" i="9" s="1"/>
  <c r="D58" i="9" l="1"/>
  <c r="C58" i="9"/>
  <c r="E58" i="9" l="1"/>
  <c r="F58" i="9" s="1"/>
  <c r="J58" i="9" s="1"/>
  <c r="B59" i="9" s="1"/>
  <c r="C59" i="9" l="1"/>
  <c r="D59" i="9"/>
  <c r="E59" i="9" l="1"/>
  <c r="F59" i="9" s="1"/>
  <c r="J59" i="9" s="1"/>
  <c r="B60" i="9" s="1"/>
  <c r="C60" i="9" l="1"/>
  <c r="D60" i="9"/>
  <c r="E60" i="9" l="1"/>
  <c r="F60" i="9" s="1"/>
  <c r="J60" i="9" s="1"/>
  <c r="B61" i="9" s="1"/>
  <c r="C61" i="9" s="1"/>
  <c r="D61" i="9" l="1"/>
  <c r="D9" i="12"/>
  <c r="G9" i="12" s="1"/>
  <c r="E61" i="9" l="1"/>
  <c r="F61" i="9" s="1"/>
  <c r="J61" i="9" s="1"/>
  <c r="B62" i="9" s="1"/>
  <c r="I9" i="12"/>
  <c r="B13" i="11" s="1"/>
  <c r="C13" i="11" s="1"/>
  <c r="D62" i="9" l="1"/>
  <c r="C62" i="9"/>
  <c r="D13" i="11"/>
  <c r="E62" i="9" l="1"/>
  <c r="F62" i="9" s="1"/>
  <c r="J62" i="9" s="1"/>
  <c r="B63" i="9" s="1"/>
  <c r="E13" i="11"/>
  <c r="G13" i="11" l="1"/>
  <c r="F13" i="11"/>
  <c r="C63" i="9"/>
  <c r="D63" i="9"/>
  <c r="I13" i="11" l="1"/>
  <c r="K13" i="11" s="1"/>
  <c r="E23" i="11" s="1"/>
  <c r="H13" i="11"/>
  <c r="J13" i="11" s="1"/>
  <c r="E63" i="9"/>
  <c r="F63" i="9" s="1"/>
  <c r="J63" i="9" s="1"/>
  <c r="B64" i="9" s="1"/>
  <c r="D23" i="11" l="1"/>
  <c r="D64" i="9"/>
  <c r="C64" i="9"/>
  <c r="E64" i="9" l="1"/>
  <c r="F64" i="9" s="1"/>
  <c r="J64" i="9" s="1"/>
  <c r="B65" i="9" s="1"/>
  <c r="C65" i="9" l="1"/>
  <c r="D65" i="9"/>
  <c r="E65" i="9" l="1"/>
  <c r="F65" i="9" s="1"/>
  <c r="J65" i="9" s="1"/>
  <c r="B66" i="9" s="1"/>
  <c r="C66" i="9" l="1"/>
  <c r="D66" i="9"/>
  <c r="E66" i="9" l="1"/>
  <c r="F66" i="9" s="1"/>
  <c r="J66" i="9" s="1"/>
  <c r="B67" i="9" s="1"/>
  <c r="C67" i="9" l="1"/>
  <c r="D67" i="9"/>
  <c r="E67" i="9" l="1"/>
  <c r="F67" i="9" s="1"/>
  <c r="J67" i="9" s="1"/>
  <c r="B68" i="9" s="1"/>
  <c r="D68" i="9" l="1"/>
  <c r="C68" i="9"/>
  <c r="E68" i="9" l="1"/>
  <c r="F68" i="9" s="1"/>
  <c r="J68" i="9" s="1"/>
  <c r="B69" i="9" s="1"/>
  <c r="C69" i="9" s="1"/>
  <c r="D69" i="9" l="1"/>
  <c r="E69" i="9" l="1"/>
  <c r="F69" i="9" s="1"/>
  <c r="J69" i="9" s="1"/>
  <c r="B70" i="9" s="1"/>
  <c r="D70" i="9" l="1"/>
  <c r="C70" i="9"/>
  <c r="E70" i="9" l="1"/>
  <c r="F70" i="9" s="1"/>
  <c r="J70" i="9" s="1"/>
  <c r="B71" i="9" s="1"/>
  <c r="D71" i="9" l="1"/>
  <c r="C71" i="9"/>
  <c r="E71" i="9" s="1"/>
  <c r="F71" i="9" s="1"/>
  <c r="J71" i="9" s="1"/>
  <c r="B72" i="9" s="1"/>
  <c r="D72" i="9" l="1"/>
  <c r="C72" i="9"/>
  <c r="E72" i="9" l="1"/>
  <c r="F72" i="9" s="1"/>
  <c r="J72" i="9" s="1"/>
  <c r="B73" i="9" s="1"/>
  <c r="D73" i="9" l="1"/>
  <c r="C73" i="9"/>
  <c r="D10" i="12" s="1"/>
  <c r="G10" i="12" s="1"/>
  <c r="E73" i="9" l="1"/>
  <c r="F73" i="9" s="1"/>
  <c r="J73" i="9" s="1"/>
  <c r="H10" i="12" s="1"/>
  <c r="B18" i="12"/>
  <c r="B11" i="1" s="1"/>
  <c r="I10" i="12" l="1"/>
  <c r="B16" i="12" s="1"/>
  <c r="B9" i="1" s="1"/>
  <c r="B17" i="12" l="1"/>
  <c r="B14" i="11"/>
  <c r="C14" i="11" s="1"/>
  <c r="B34" i="12" l="1"/>
  <c r="B33" i="1" s="1"/>
  <c r="B10" i="1"/>
  <c r="D14" i="11"/>
  <c r="E14" i="11" l="1"/>
  <c r="F14" i="11" s="1"/>
  <c r="G14" i="11" l="1"/>
  <c r="H14" i="11" l="1"/>
  <c r="J14" i="11" s="1"/>
  <c r="I14" i="11"/>
  <c r="K14" i="11" s="1"/>
  <c r="D24" i="11" l="1"/>
  <c r="B22" i="11" s="1"/>
  <c r="B18" i="11"/>
  <c r="B19" i="11"/>
  <c r="B21" i="11" s="1"/>
  <c r="B33" i="12" s="1"/>
  <c r="B32" i="1" s="1"/>
  <c r="E24" i="11"/>
  <c r="B23" i="11" s="1"/>
  <c r="B24" i="11" l="1"/>
  <c r="B20" i="11"/>
  <c r="B32" i="12" s="1"/>
  <c r="B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200-000001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5" authorId="0" shapeId="0" xr:uid="{00000000-0006-0000-0200-000002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6" authorId="0" shapeId="0" xr:uid="{00000000-0006-0000-0200-000003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7" authorId="0" shapeId="0" xr:uid="{00000000-0006-0000-0200-000004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8" authorId="0" shapeId="0" xr:uid="{00000000-0006-0000-0200-000005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9" authorId="0" shapeId="0" xr:uid="{00000000-0006-0000-0200-000006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0" authorId="0" shapeId="0" xr:uid="{00000000-0006-0000-0200-000007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3" authorId="0" shapeId="0" xr:uid="{00000000-0006-0000-0200-000008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4" authorId="0" shapeId="0" xr:uid="{00000000-0006-0000-0200-000009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5" authorId="0" shapeId="0" xr:uid="{00000000-0006-0000-0200-00000A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6" authorId="0" shapeId="0" xr:uid="{00000000-0006-0000-0200-00000B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7" authorId="0" shapeId="0" xr:uid="{00000000-0006-0000-0200-00000C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8" authorId="0" shapeId="0" xr:uid="{00000000-0006-0000-0200-00000D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19" authorId="0" shapeId="0" xr:uid="{00000000-0006-0000-0200-00000E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20" authorId="0" shapeId="0" xr:uid="{00000000-0006-0000-0200-00000F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21" authorId="0" shapeId="0" xr:uid="{00000000-0006-0000-0200-000010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22" authorId="0" shapeId="0" xr:uid="{00000000-0006-0000-0200-000011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26" authorId="0" shapeId="0" xr:uid="{00000000-0006-0000-0200-000012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27" authorId="0" shapeId="0" xr:uid="{00000000-0006-0000-0200-000013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28" authorId="0" shapeId="0" xr:uid="{00000000-0006-0000-0200-000014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29" authorId="0" shapeId="0" xr:uid="{00000000-0006-0000-0200-000015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0" authorId="0" shapeId="0" xr:uid="{00000000-0006-0000-0200-000016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1" authorId="0" shapeId="0" xr:uid="{00000000-0006-0000-0200-000017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2" authorId="0" shapeId="0" xr:uid="{00000000-0006-0000-0200-000018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3" authorId="0" shapeId="0" xr:uid="{00000000-0006-0000-0200-000019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4" authorId="0" shapeId="0" xr:uid="{00000000-0006-0000-0200-00001A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5" authorId="0" shapeId="0" xr:uid="{00000000-0006-0000-0200-00001B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6" authorId="0" shapeId="0" xr:uid="{00000000-0006-0000-0200-00001C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37" authorId="0" shapeId="0" xr:uid="{00000000-0006-0000-0200-00001D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41" authorId="0" shapeId="0" xr:uid="{00000000-0006-0000-0200-00001E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42" authorId="0" shapeId="0" xr:uid="{00000000-0006-0000-0200-00001F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43" authorId="0" shapeId="0" xr:uid="{00000000-0006-0000-0200-000020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44" authorId="0" shapeId="0" xr:uid="{00000000-0006-0000-0200-000021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45" authorId="0" shapeId="0" xr:uid="{00000000-0006-0000-0200-000022000000}">
      <text>
        <r>
          <rPr>
            <sz val="11"/>
            <color theme="1"/>
            <rFont val="Calibri"/>
          </rPr>
          <t>Sample input; replace with deal-specific source</t>
        </r>
      </text>
    </comment>
    <comment ref="B46" authorId="0" shapeId="0" xr:uid="{00000000-0006-0000-0200-000023000000}">
      <text>
        <r>
          <rPr>
            <sz val="11"/>
            <color theme="1"/>
            <rFont val="Calibri"/>
          </rPr>
          <t>Sample input; replace with deal-specific source</t>
        </r>
      </text>
    </comment>
  </commentList>
</comments>
</file>

<file path=xl/sharedStrings.xml><?xml version="1.0" encoding="utf-8"?>
<sst xmlns="http://schemas.openxmlformats.org/spreadsheetml/2006/main" count="397" uniqueCount="310">
  <si>
    <t>Institutional Self-Storage Acquisition Dashboard</t>
  </si>
  <si>
    <t>Key Investment Metrics</t>
  </si>
  <si>
    <t>Purchase Price</t>
  </si>
  <si>
    <t>Total Project Cost</t>
  </si>
  <si>
    <t>Equity Required</t>
  </si>
  <si>
    <t>Year 1 NOI</t>
  </si>
  <si>
    <t>Year 5 NOI</t>
  </si>
  <si>
    <t>Levered IRR</t>
  </si>
  <si>
    <t>Equity Multiple</t>
  </si>
  <si>
    <t>Avg Cash-on-Cash</t>
  </si>
  <si>
    <t>Year 1 DSCR</t>
  </si>
  <si>
    <t>Year 1 Debt Yield</t>
  </si>
  <si>
    <t>Exit Value</t>
  </si>
  <si>
    <t>Flags / Credit Committee Checks</t>
  </si>
  <si>
    <t>DSCR Status</t>
  </si>
  <si>
    <t>Debt Yield Status</t>
  </si>
  <si>
    <t>Exit Cap Spread</t>
  </si>
  <si>
    <t>Stabilized Occ.</t>
  </si>
  <si>
    <t>Unlevered Scenario Metrics</t>
  </si>
  <si>
    <t>Unlevered IRR</t>
  </si>
  <si>
    <t>Unlevered Equity Multiple</t>
  </si>
  <si>
    <t>Unlevered Avg Cash-on-Cash</t>
  </si>
  <si>
    <t>Unlevered Exit Value</t>
  </si>
  <si>
    <t>Unlevered Y5 NOI Yield on Cost</t>
  </si>
  <si>
    <t>Expanded Investor Metrics</t>
  </si>
  <si>
    <t>LP Equity Multiple</t>
  </si>
  <si>
    <t>GP Equity Multiple</t>
  </si>
  <si>
    <t>MOIC</t>
  </si>
  <si>
    <t>Yield on Cost</t>
  </si>
  <si>
    <t>Exit Yield</t>
  </si>
  <si>
    <t>Acquisition Diagnostics</t>
  </si>
  <si>
    <t>Price per Rentable SF</t>
  </si>
  <si>
    <t>Price per Unit</t>
  </si>
  <si>
    <t>Stabilized Cap</t>
  </si>
  <si>
    <t>Going-In Cap</t>
  </si>
  <si>
    <t>Debt Mode</t>
  </si>
  <si>
    <t>Unlevered Toggle</t>
  </si>
  <si>
    <t>Sources &amp; Notes / Model Guide</t>
  </si>
  <si>
    <t>Purpose</t>
  </si>
  <si>
    <t>Institutional self-storage acquisition model for lender and investor review.</t>
  </si>
  <si>
    <t>Replace inputs</t>
  </si>
  <si>
    <t>All blue/yellow cells are sample inputs and should be replaced with real rent roll, T-12, tax, insurance, debt, construction, and market comp data.</t>
  </si>
  <si>
    <t>Color convention</t>
  </si>
  <si>
    <t>Blue/yellow = editable input; green = linked from another worksheet; black = formula.</t>
  </si>
  <si>
    <t>Caution</t>
  </si>
  <si>
    <t>Waterfall is an annual simplified promote model and should be reviewed by counsel/CPA before investor use.</t>
  </si>
  <si>
    <t>Due Diligence Checklist</t>
  </si>
  <si>
    <t>Rent roll by unit type</t>
  </si>
  <si>
    <t>T-12 / T-3 P&amp;L</t>
  </si>
  <si>
    <t>Physical and economic occupancy</t>
  </si>
  <si>
    <t>Rate history and street rates</t>
  </si>
  <si>
    <t>Delinquency / bad debt</t>
  </si>
  <si>
    <t>Tax bill and reassessment</t>
  </si>
  <si>
    <t>Insurance quote</t>
  </si>
  <si>
    <t>Debt term sheet</t>
  </si>
  <si>
    <t>Expansion zoning / permits</t>
  </si>
  <si>
    <t>Market comp survey URLs</t>
  </si>
  <si>
    <t>Global Inputs</t>
  </si>
  <si>
    <t>Acquisition / Fees</t>
  </si>
  <si>
    <t>Closing Costs %</t>
  </si>
  <si>
    <t>Initial Repairs / Deferred CapEx</t>
  </si>
  <si>
    <t>Acquisition Fee %</t>
  </si>
  <si>
    <t>Asset Management Fee % of EGI</t>
  </si>
  <si>
    <t>Disposition Fee %</t>
  </si>
  <si>
    <t>Sponsor Co-Invest % of Equity</t>
  </si>
  <si>
    <t>Operations</t>
  </si>
  <si>
    <t>Start Physical Occupancy</t>
  </si>
  <si>
    <t>Stabilized Physical Occupancy</t>
  </si>
  <si>
    <t>Months to Stabilization</t>
  </si>
  <si>
    <t>Occupancy Curve Type</t>
  </si>
  <si>
    <t>Logistic</t>
  </si>
  <si>
    <t>Economic Occupancy Discount</t>
  </si>
  <si>
    <t>Annual Street Rent Growth</t>
  </si>
  <si>
    <t>Admin / Fees % of Rental Revenue</t>
  </si>
  <si>
    <t>Tenant Insurance Income %</t>
  </si>
  <si>
    <t>Other Income / Month</t>
  </si>
  <si>
    <t>OpEx Growth</t>
  </si>
  <si>
    <t>Debt / Refi / Exit</t>
  </si>
  <si>
    <t>Initial LTV</t>
  </si>
  <si>
    <t>Initial Interest Rate</t>
  </si>
  <si>
    <t>Initial Amortization Years</t>
  </si>
  <si>
    <t>IO Period Months</t>
  </si>
  <si>
    <t>Minimum DSCR</t>
  </si>
  <si>
    <t>Refi Month</t>
  </si>
  <si>
    <t>Refi LTV</t>
  </si>
  <si>
    <t>Refi Interest Rate</t>
  </si>
  <si>
    <t>Refi Amortization Years</t>
  </si>
  <si>
    <t>Exit Cap Rate</t>
  </si>
  <si>
    <t>Exit Month</t>
  </si>
  <si>
    <t>Selling Costs %</t>
  </si>
  <si>
    <t>Preferred Return</t>
  </si>
  <si>
    <t>Return of Capital - LP</t>
  </si>
  <si>
    <t>Catch-Up Split - LP</t>
  </si>
  <si>
    <t>Catch-Up Split - GP</t>
  </si>
  <si>
    <t>Residual Hurdle / Reference</t>
  </si>
  <si>
    <t>Residual Split - LP</t>
  </si>
  <si>
    <t>Residual Split - GP</t>
  </si>
  <si>
    <t>Debt Toggle / Structure</t>
  </si>
  <si>
    <t>Unlevered? (Yes/No)</t>
  </si>
  <si>
    <t>Yes</t>
  </si>
  <si>
    <t>Active Capital Structure</t>
  </si>
  <si>
    <t>LP Contributes 100% Equity?</t>
  </si>
  <si>
    <t>Notes</t>
  </si>
  <si>
    <t>Set Unlevered? to No to activate LTV-based debt sizing and debt service.</t>
  </si>
  <si>
    <t>Unit Mix &amp; Market Rent Comp Integration</t>
  </si>
  <si>
    <t>Subject Unit Mix</t>
  </si>
  <si>
    <t>Unit Type</t>
  </si>
  <si>
    <t>Units</t>
  </si>
  <si>
    <t>Avg SF</t>
  </si>
  <si>
    <t>Current Rent / Mo.</t>
  </si>
  <si>
    <t>Market Rent / Mo.</t>
  </si>
  <si>
    <t>Premium / Discount</t>
  </si>
  <si>
    <t>Current Annual GPR</t>
  </si>
  <si>
    <t>Market Annual GPR</t>
  </si>
  <si>
    <t>5x5</t>
  </si>
  <si>
    <t>5x10</t>
  </si>
  <si>
    <t>10x10</t>
  </si>
  <si>
    <t>10x15</t>
  </si>
  <si>
    <t>10x20</t>
  </si>
  <si>
    <t>Parking / Outdoor</t>
  </si>
  <si>
    <t>Total / Weighted Avg</t>
  </si>
  <si>
    <t>Market Rent Comps</t>
  </si>
  <si>
    <t>Comp Name</t>
  </si>
  <si>
    <t>Market / Address</t>
  </si>
  <si>
    <t>Distance</t>
  </si>
  <si>
    <t>Quoted Rent / Mo.</t>
  </si>
  <si>
    <t>Source / URL</t>
  </si>
  <si>
    <t>Date</t>
  </si>
  <si>
    <t>Comp 1</t>
  </si>
  <si>
    <t>Add source URL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</si>
  <si>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</si>
  <si>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</si>
  <si>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</si>
  <si>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</si>
  <si>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</si>
  <si>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</si>
  <si>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</si>
  <si>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</si>
  <si>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</si>
  <si>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Comp Summary</t>
  </si>
  <si>
    <t>Average Quoted Rent / Mo.</t>
  </si>
  <si>
    <t>Subject Weighted Market Rent / Mo.</t>
  </si>
  <si>
    <t>Subject vs Comp Rent</t>
  </si>
  <si>
    <t>Monthly Lease-Up / Dynamic Occupancy Curves</t>
  </si>
  <si>
    <t>Month</t>
  </si>
  <si>
    <t>Year</t>
  </si>
  <si>
    <t>Beginning Occ.</t>
  </si>
  <si>
    <t>Curve Occ.</t>
  </si>
  <si>
    <t>Physical Occ.</t>
  </si>
  <si>
    <t>Leased Units</t>
  </si>
  <si>
    <t>Economic Occ.</t>
  </si>
  <si>
    <t>Monthly Rent Growth</t>
  </si>
  <si>
    <t>Weighted Market Rent</t>
  </si>
  <si>
    <t>Rental Revenue</t>
  </si>
  <si>
    <t>Ancillary Income</t>
  </si>
  <si>
    <t>Total EGI</t>
  </si>
  <si>
    <t>Annual Revenue Forecast</t>
  </si>
  <si>
    <t>Avg Economic Occ.</t>
  </si>
  <si>
    <t>Expansion Revenue</t>
  </si>
  <si>
    <t>EGI Growth</t>
  </si>
  <si>
    <t>-</t>
  </si>
  <si>
    <t>Operating Expense Forecast</t>
  </si>
  <si>
    <t>Expense Line</t>
  </si>
  <si>
    <t>Year 1</t>
  </si>
  <si>
    <t>Year 2</t>
  </si>
  <si>
    <t>Year 3</t>
  </si>
  <si>
    <t>Year 4</t>
  </si>
  <si>
    <t>Year 5</t>
  </si>
  <si>
    <t>% EGI Y1</t>
  </si>
  <si>
    <t>Property Taxes</t>
  </si>
  <si>
    <t>Insurance</t>
  </si>
  <si>
    <t>Utilities</t>
  </si>
  <si>
    <t>Repairs &amp; Maintenance</t>
  </si>
  <si>
    <t>Payroll / On-Site Staff</t>
  </si>
  <si>
    <t>Management Fee</t>
  </si>
  <si>
    <t>Marketing / Admin</t>
  </si>
  <si>
    <t>Software / Call Center</t>
  </si>
  <si>
    <t>Bad Debt / Concessions</t>
  </si>
  <si>
    <t>Replacement Reserves</t>
  </si>
  <si>
    <t>Total Operating Expenses</t>
  </si>
  <si>
    <t>NOI</t>
  </si>
  <si>
    <t>Expansion / Construction Module</t>
  </si>
  <si>
    <t>Expansion Assumptions</t>
  </si>
  <si>
    <t>Expansion Enabled?</t>
  </si>
  <si>
    <t>Expansion Start Month</t>
  </si>
  <si>
    <t>Construction Duration Months</t>
  </si>
  <si>
    <t>New Rentable Units</t>
  </si>
  <si>
    <t>Avg New Unit Monthly Rent</t>
  </si>
  <si>
    <t>Stabilized Occ. on New Units</t>
  </si>
  <si>
    <t>Cost Per New Unit</t>
  </si>
  <si>
    <t>Soft Costs %</t>
  </si>
  <si>
    <t>Contingency %</t>
  </si>
  <si>
    <t>Construction Spend</t>
  </si>
  <si>
    <t>Cumulative Spend</t>
  </si>
  <si>
    <t>New Unit Occ.</t>
  </si>
  <si>
    <t>New Unit Revenue</t>
  </si>
  <si>
    <t>Incremental NOI @ 65% Margin</t>
  </si>
  <si>
    <t>Debt Schedule / Refinance Scenario</t>
  </si>
  <si>
    <t>Initial Debt Sizing</t>
  </si>
  <si>
    <t>Initial Loan Amount</t>
  </si>
  <si>
    <t>Initial Equity Required</t>
  </si>
  <si>
    <t>Annual Debt Service</t>
  </si>
  <si>
    <t>Debt Yield - Year 1</t>
  </si>
  <si>
    <t>DSCR - Year 1</t>
  </si>
  <si>
    <t>Debt Toggle</t>
  </si>
  <si>
    <t>Beginning Loan</t>
  </si>
  <si>
    <t>Scheduled Debt Service</t>
  </si>
  <si>
    <t>Interest</t>
  </si>
  <si>
    <t>Principal</t>
  </si>
  <si>
    <t>Ending Loan</t>
  </si>
  <si>
    <t>Refi Value</t>
  </si>
  <si>
    <t>Refi Loan</t>
  </si>
  <si>
    <t>Refi Proceeds</t>
  </si>
  <si>
    <t>Active Loan Balance</t>
  </si>
  <si>
    <t>Sponsor Fee Module</t>
  </si>
  <si>
    <t>EGI</t>
  </si>
  <si>
    <t>Acquisition Fee</t>
  </si>
  <si>
    <t>Asset Management Fee</t>
  </si>
  <si>
    <t>Disposition Fee</t>
  </si>
  <si>
    <t>Total Sponsor Fees</t>
  </si>
  <si>
    <t>GP / LP Waterfall with Promote - Tiered Structure</t>
  </si>
  <si>
    <t>Equity Contributions</t>
  </si>
  <si>
    <t>Total Equity Required</t>
  </si>
  <si>
    <t>GP Co-Invest</t>
  </si>
  <si>
    <t>LP Equity</t>
  </si>
  <si>
    <t>Distributable CF</t>
  </si>
  <si>
    <t>Return of Capital 100% LP</t>
  </si>
  <si>
    <t>Preferred Return 8%</t>
  </si>
  <si>
    <t>Remaining CF</t>
  </si>
  <si>
    <t>Catch-Up LP 80%</t>
  </si>
  <si>
    <t>Catch-Up GP 20%</t>
  </si>
  <si>
    <t>Residual LP 80%</t>
  </si>
  <si>
    <t>Residual GP 20%</t>
  </si>
  <si>
    <t>LP Total</t>
  </si>
  <si>
    <t>GP Total</t>
  </si>
  <si>
    <t>Waterfall Summary</t>
  </si>
  <si>
    <t>LP Total Distributions</t>
  </si>
  <si>
    <t>LP CF</t>
  </si>
  <si>
    <t>GP CF</t>
  </si>
  <si>
    <t>GP Total Distributions</t>
  </si>
  <si>
    <t>LP IRR</t>
  </si>
  <si>
    <t>GP IRR</t>
  </si>
  <si>
    <t>Total MOIC</t>
  </si>
  <si>
    <t>Returns Summary / Cash Flow Model</t>
  </si>
  <si>
    <t>Expansion NOI</t>
  </si>
  <si>
    <t>Debt Service</t>
  </si>
  <si>
    <t>Sponsor Fees</t>
  </si>
  <si>
    <t>Net Cash Flow Before Sale</t>
  </si>
  <si>
    <t>Sale Proceeds</t>
  </si>
  <si>
    <t>Total Cash Flow</t>
  </si>
  <si>
    <t>Return Metrics</t>
  </si>
  <si>
    <t>Total Equity</t>
  </si>
  <si>
    <t>Unlevered Metrics</t>
  </si>
  <si>
    <t>Unlevered Net Sale Proceeds</t>
  </si>
  <si>
    <t>Active Scenario</t>
  </si>
  <si>
    <t>Base / Current</t>
  </si>
  <si>
    <t>Expanded Return Metrics</t>
  </si>
  <si>
    <t>Total Cost per Rentable SF</t>
  </si>
  <si>
    <t>Total Cost per Unit</t>
  </si>
  <si>
    <t>Sensitivity Tables</t>
  </si>
  <si>
    <t>Purchase Price / Exit Cap Sensitivity - Approx Levered IRR</t>
  </si>
  <si>
    <t>Exit Cap / Price</t>
  </si>
  <si>
    <t>Occupancy / Rent Growth Sensitivity - Year 5 NOI</t>
  </si>
  <si>
    <t>Rent Growth / Occ</t>
  </si>
  <si>
    <t>Unlevered Scenario Analysis</t>
  </si>
  <si>
    <t>Scenario Assumptions</t>
  </si>
  <si>
    <t>Total Unlevered Cost</t>
  </si>
  <si>
    <t>Annual Unlevered Cash Flow</t>
  </si>
  <si>
    <t>Downside</t>
  </si>
  <si>
    <t>Upside</t>
  </si>
  <si>
    <t>Lower Exit Cap</t>
  </si>
  <si>
    <t>Higher Exit Cap</t>
  </si>
  <si>
    <t>Unlevered Return Metrics</t>
  </si>
  <si>
    <t>Net Sale Proceeds</t>
  </si>
  <si>
    <t>Year 5 NOI Yield on Cost</t>
  </si>
  <si>
    <t>All scenarios are debt-free and exclude refi proceeds/debt service. Downside/Upside flex Year 1-5 NOI by +/-5% and sale value accordingly.</t>
  </si>
  <si>
    <t>UNLEVERED IRR SCENARIO ANALYSIS</t>
  </si>
  <si>
    <t>Scenario</t>
  </si>
  <si>
    <t>NOI Growth</t>
  </si>
  <si>
    <t>Hold Period</t>
  </si>
  <si>
    <t>Projected Unlevered IRR</t>
  </si>
  <si>
    <t>Severe Downside</t>
  </si>
  <si>
    <t>8.00%</t>
  </si>
  <si>
    <t>1.0%</t>
  </si>
  <si>
    <t>5 Years</t>
  </si>
  <si>
    <t>5.0% - 6.5%</t>
  </si>
  <si>
    <t>7.50%</t>
  </si>
  <si>
    <t>2.0%</t>
  </si>
  <si>
    <t>6.5% - 8.0%</t>
  </si>
  <si>
    <t>Base Case</t>
  </si>
  <si>
    <t>6.75%</t>
  </si>
  <si>
    <t>3.0%</t>
  </si>
  <si>
    <t>9.0% - 11.0%</t>
  </si>
  <si>
    <t>Strong Upside</t>
  </si>
  <si>
    <t>6.00%</t>
  </si>
  <si>
    <t>4.0%</t>
  </si>
  <si>
    <t>12.0% - 15.0%</t>
  </si>
  <si>
    <t>Aggressive Upside</t>
  </si>
  <si>
    <t>5.50%</t>
  </si>
  <si>
    <t>5.0%</t>
  </si>
  <si>
    <t>7 Years</t>
  </si>
  <si>
    <t>16.0% - 20.0%</t>
  </si>
  <si>
    <t>Expansion / Redevelopment</t>
  </si>
  <si>
    <t>5.00%</t>
  </si>
  <si>
    <t>6.0%</t>
  </si>
  <si>
    <t>7-10 Years</t>
  </si>
  <si>
    <t>20.0%+</t>
  </si>
  <si>
    <t>Note</t>
  </si>
  <si>
    <t>Debt service is automatically zeroed when Unlevered = Yes.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</si>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</sst>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[Red]\(\$#,##0\);\-"/>
    <numFmt numFmtId="165" formatCode="0.0%"/>
    <numFmt numFmtId="166" formatCode="0.0\x"/>
    <numFmt numFmtId="167" formatCode="#,##0;[Red]\(#,##0\);\-"/>
    <numFmt numFmtId="168" formatCode="0.00\x"/>
    <numFmt numFmtId="169" formatCode="\$#,##0"/>
  </numFmts>
  <fonts count="10" x14ac:knownFonts="1">
    <font>
      <sz val="11"/>
      <color theme="1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sz val="14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68"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right"/>
    </xf>
    <xf numFmtId="165" fontId="5" fillId="0" borderId="0" xfId="0" applyNumberFormat="1" applyFont="1" applyBorder="1" applyAlignment="1">
      <alignment horizontal="right"/>
    </xf>
    <xf numFmtId="166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4" fillId="4" borderId="0" xfId="0" applyNumberFormat="1" applyFont="1" applyFill="1" applyBorder="1" applyAlignment="1">
      <alignment horizontal="right"/>
    </xf>
    <xf numFmtId="165" fontId="4" fillId="4" borderId="0" xfId="0" applyNumberFormat="1" applyFont="1" applyFill="1" applyBorder="1" applyAlignment="1">
      <alignment horizontal="right"/>
    </xf>
    <xf numFmtId="167" fontId="4" fillId="4" borderId="0" xfId="0" applyNumberFormat="1" applyFont="1" applyFill="1" applyBorder="1" applyAlignment="1">
      <alignment horizontal="right"/>
    </xf>
    <xf numFmtId="0" fontId="4" fillId="4" borderId="0" xfId="0" applyFont="1" applyFill="1" applyBorder="1" applyAlignment="1">
      <alignment horizontal="right"/>
    </xf>
    <xf numFmtId="166" fontId="4" fillId="4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4" fillId="4" borderId="0" xfId="0" applyFont="1" applyFill="1" applyBorder="1" applyAlignment="1">
      <alignment horizontal="left"/>
    </xf>
    <xf numFmtId="165" fontId="0" fillId="0" borderId="0" xfId="0" applyNumberForma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5" fontId="4" fillId="4" borderId="0" xfId="0" applyNumberFormat="1" applyFont="1" applyFill="1" applyBorder="1" applyAlignment="1">
      <alignment horizontal="left"/>
    </xf>
    <xf numFmtId="1" fontId="6" fillId="0" borderId="1" xfId="0" applyNumberFormat="1" applyFont="1" applyBorder="1" applyAlignment="1">
      <alignment horizontal="right"/>
    </xf>
    <xf numFmtId="10" fontId="4" fillId="4" borderId="0" xfId="0" applyNumberFormat="1" applyFont="1" applyFill="1" applyBorder="1" applyAlignment="1">
      <alignment horizontal="right"/>
    </xf>
    <xf numFmtId="0" fontId="3" fillId="5" borderId="0" xfId="0" applyFont="1" applyFill="1" applyBorder="1"/>
    <xf numFmtId="0" fontId="7" fillId="6" borderId="0" xfId="0" applyFont="1" applyFill="1" applyBorder="1"/>
    <xf numFmtId="0" fontId="7" fillId="0" borderId="0" xfId="0" applyFont="1" applyBorder="1"/>
    <xf numFmtId="164" fontId="0" fillId="0" borderId="0" xfId="0" applyNumberFormat="1" applyBorder="1"/>
    <xf numFmtId="165" fontId="0" fillId="0" borderId="0" xfId="0" applyNumberFormat="1" applyBorder="1"/>
    <xf numFmtId="168" fontId="0" fillId="0" borderId="0" xfId="0" applyNumberFormat="1" applyBorder="1"/>
    <xf numFmtId="0" fontId="0" fillId="0" borderId="0" xfId="0" applyBorder="1" applyAlignment="1">
      <alignment wrapText="1"/>
    </xf>
    <xf numFmtId="49" fontId="0" fillId="0" borderId="0" xfId="0" applyNumberFormat="1" applyBorder="1"/>
    <xf numFmtId="0" fontId="7" fillId="0" borderId="0" xfId="0" applyFont="1" applyBorder="1" applyAlignment="1">
      <alignment wrapText="1"/>
    </xf>
    <xf numFmtId="165" fontId="0" fillId="0" borderId="0" xfId="0" applyNumberFormat="1" applyBorder="1" applyAlignment="1">
      <alignment wrapText="1"/>
    </xf>
    <xf numFmtId="0" fontId="8" fillId="0" borderId="0" xfId="0" applyFont="1" applyBorder="1"/>
    <xf numFmtId="0" fontId="9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7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169" fontId="0" fillId="0" borderId="0" xfId="0" applyNumberFormat="1" applyBorder="1"/>
    <xf numFmtId="0" fontId="3" fillId="8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right"/>
    </xf>
    <xf numFmtId="168" fontId="6" fillId="0" borderId="0" xfId="0" applyNumberFormat="1" applyFont="1" applyBorder="1" applyAlignment="1">
      <alignment horizontal="right"/>
    </xf>
    <xf numFmtId="168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left" wrapText="1"/>
    </xf>
    <xf numFmtId="164" fontId="5" fillId="0" borderId="0" xfId="0" applyNumberFormat="1" applyFont="1" applyBorder="1" applyAlignment="1">
      <alignment horizontal="right" wrapText="1"/>
    </xf>
    <xf numFmtId="164" fontId="6" fillId="0" borderId="0" xfId="0" applyNumberFormat="1" applyFont="1" applyBorder="1" applyAlignment="1">
      <alignment horizontal="right" wrapText="1"/>
    </xf>
    <xf numFmtId="168" fontId="0" fillId="0" borderId="0" xfId="0" applyNumberFormat="1" applyBorder="1" applyAlignment="1">
      <alignment wrapText="1"/>
    </xf>
    <xf numFmtId="169" fontId="0" fillId="0" borderId="0" xfId="0" applyNumberFormat="1" applyBorder="1" applyAlignment="1">
      <alignment wrapText="1"/>
    </xf>
    <xf numFmtId="0" fontId="1" fillId="2" borderId="2" xfId="0" applyFont="1" applyFill="1" applyAlignment="1">
      <alignment horizontal="left"/>
    </xf>
    <xf numFmtId="0" fontId="0" fillId="0" borderId="2" xfId="0"/>
    <xf numFmtId="0" fontId="3" fillId="3" borderId="2" xfId="0" applyFont="1" applyFill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0" fillId="0" borderId="0" xfId="0" applyBorder="1" applyAlignment="1">
      <alignment wrapText="1"/>
    </xf>
    <xf numFmtId="165" fontId="0" fillId="0" borderId="0" xfId="0" applyNumberFormat="1" applyBorder="1"/>
    <xf numFmtId="0" fontId="3" fillId="7" borderId="0" xfId="0" applyFont="1" applyFill="1" applyBorder="1" applyAlignment="1">
      <alignment horizontal="left" vertical="center" wrapText="1"/>
    </xf>
    <xf numFmtId="0" fontId="7" fillId="7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5" borderId="2" xfId="0" applyFont="1" applyFill="1"/>
    <xf numFmtId="0" fontId="3" fillId="2" borderId="0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NOI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'Revenue Forecast'!$A$4:$A$8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'Operating Expenses'!$B$17:$F$17</c:f>
              <c:numCache>
                <c:formatCode>\$#,##0;[Red]\(\$#,##0\);\-</c:formatCode>
                <c:ptCount val="5"/>
                <c:pt idx="0">
                  <c:v>526093.65540703945</c:v>
                </c:pt>
                <c:pt idx="1">
                  <c:v>733919.61413143028</c:v>
                </c:pt>
                <c:pt idx="2">
                  <c:v>928705.84117612045</c:v>
                </c:pt>
                <c:pt idx="3">
                  <c:v>1133439.5362513708</c:v>
                </c:pt>
                <c:pt idx="4">
                  <c:v>1190879.8424329695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E3-47D7-A35B-C19E58905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en-US"/>
                  <a:t>NOI</a:t>
                </a:r>
              </a:p>
            </c:rich>
          </c:tx>
          <c:overlay val="0"/>
        </c:title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Total Cash Flow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'Returns Summary'!$I$4</c:f>
              <c:strCache>
                <c:ptCount val="1"/>
                <c:pt idx="0">
                  <c:v>Total Cash Flow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'Returns Summary'!$A$5:$A$10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'Returns Summary'!$I$5:$I$10</c:f>
              <c:numCache>
                <c:formatCode>\$#,##0;[Red]\(\$#,##0\);\-</c:formatCode>
                <c:ptCount val="6"/>
                <c:pt idx="0">
                  <c:v>-4612500</c:v>
                </c:pt>
                <c:pt idx="1">
                  <c:v>510129.0187427178</c:v>
                </c:pt>
                <c:pt idx="2">
                  <c:v>714635.75729041232</c:v>
                </c:pt>
                <c:pt idx="3">
                  <c:v>988875.81436370604</c:v>
                </c:pt>
                <c:pt idx="4">
                  <c:v>1287923.9555329583</c:v>
                </c:pt>
                <c:pt idx="5">
                  <c:v>17441695.591351487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9-4B92-9492-BFFA0980E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Physical Occupancy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Lease-Up'!$E$3</c:f>
              <c:strCache>
                <c:ptCount val="1"/>
                <c:pt idx="0">
                  <c:v>Physical Occ.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Lease-Up'!$A$4:$A$63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'Monthly Lease-Up'!$E$4:$E$63</c:f>
              <c:numCache>
                <c:formatCode>0.0%</c:formatCode>
                <c:ptCount val="60"/>
                <c:pt idx="0">
                  <c:v>0.71806356594848164</c:v>
                </c:pt>
                <c:pt idx="1">
                  <c:v>0.72233163999250782</c:v>
                </c:pt>
                <c:pt idx="2">
                  <c:v>0.72805568649075325</c:v>
                </c:pt>
                <c:pt idx="3">
                  <c:v>0.73557310922011598</c:v>
                </c:pt>
                <c:pt idx="4">
                  <c:v>0.74517850950819375</c:v>
                </c:pt>
                <c:pt idx="5">
                  <c:v>0.75703044445784429</c:v>
                </c:pt>
                <c:pt idx="6">
                  <c:v>0.77103975997154395</c:v>
                </c:pt>
                <c:pt idx="7">
                  <c:v>0.78678280726895533</c:v>
                </c:pt>
                <c:pt idx="8">
                  <c:v>0.80349999999999999</c:v>
                </c:pt>
                <c:pt idx="9">
                  <c:v>0.82021719273104465</c:v>
                </c:pt>
                <c:pt idx="10">
                  <c:v>0.83596024002845604</c:v>
                </c:pt>
                <c:pt idx="11">
                  <c:v>0.8499695555421557</c:v>
                </c:pt>
                <c:pt idx="12">
                  <c:v>0.86182149049180623</c:v>
                </c:pt>
                <c:pt idx="13">
                  <c:v>0.87142689077988389</c:v>
                </c:pt>
                <c:pt idx="14">
                  <c:v>0.87894431350924673</c:v>
                </c:pt>
                <c:pt idx="15">
                  <c:v>0.88466836000749216</c:v>
                </c:pt>
                <c:pt idx="16">
                  <c:v>0.88893643405151834</c:v>
                </c:pt>
                <c:pt idx="17">
                  <c:v>0.89206938330731034</c:v>
                </c:pt>
                <c:pt idx="18">
                  <c:v>0.89434273946498821</c:v>
                </c:pt>
                <c:pt idx="19">
                  <c:v>0.89597858550789466</c:v>
                </c:pt>
                <c:pt idx="20">
                  <c:v>0.89714861188319839</c:v>
                </c:pt>
                <c:pt idx="21">
                  <c:v>0.89798185569723987</c:v>
                </c:pt>
                <c:pt idx="22">
                  <c:v>0.89857343252055366</c:v>
                </c:pt>
                <c:pt idx="23">
                  <c:v>0.89899251574114325</c:v>
                </c:pt>
                <c:pt idx="24">
                  <c:v>0.89928894169940887</c:v>
                </c:pt>
                <c:pt idx="25">
                  <c:v>0.89949837992187165</c:v>
                </c:pt>
                <c:pt idx="26">
                  <c:v>0.89964624278409888</c:v>
                </c:pt>
                <c:pt idx="27">
                  <c:v>0.89975057649317658</c:v>
                </c:pt>
                <c:pt idx="28">
                  <c:v>0.89982416711948066</c:v>
                </c:pt>
                <c:pt idx="29">
                  <c:v>0.89987605931778691</c:v>
                </c:pt>
                <c:pt idx="30">
                  <c:v>0.89991264391091463</c:v>
                </c:pt>
                <c:pt idx="31">
                  <c:v>0.89993843297511711</c:v>
                </c:pt>
                <c:pt idx="32">
                  <c:v>0.89995661036334496</c:v>
                </c:pt>
                <c:pt idx="33">
                  <c:v>0.89996942180971318</c:v>
                </c:pt>
                <c:pt idx="34">
                  <c:v>0.89997845090525852</c:v>
                </c:pt>
                <c:pt idx="35">
                  <c:v>0.89998481410887377</c:v>
                </c:pt>
                <c:pt idx="36">
                  <c:v>0.89998929843472852</c:v>
                </c:pt>
                <c:pt idx="37">
                  <c:v>0.89999245861092447</c:v>
                </c:pt>
                <c:pt idx="38">
                  <c:v>0.89999468561161489</c:v>
                </c:pt>
                <c:pt idx="39">
                  <c:v>0.8999962549833479</c:v>
                </c:pt>
                <c:pt idx="40">
                  <c:v>0.89999736091624671</c:v>
                </c:pt>
                <c:pt idx="41">
                  <c:v>0.89999814026160152</c:v>
                </c:pt>
                <c:pt idx="42">
                  <c:v>0.89999868946077133</c:v>
                </c:pt>
                <c:pt idx="43">
                  <c:v>0.89999907647676247</c:v>
                </c:pt>
                <c:pt idx="44">
                  <c:v>0.89999934920325431</c:v>
                </c:pt>
                <c:pt idx="45">
                  <c:v>0.89999954139082783</c:v>
                </c:pt>
                <c:pt idx="46">
                  <c:v>0.8999996768233518</c:v>
                </c:pt>
                <c:pt idx="47">
                  <c:v>0.89999977226115258</c:v>
                </c:pt>
                <c:pt idx="48">
                  <c:v>0.89999983951509066</c:v>
                </c:pt>
                <c:pt idx="49">
                  <c:v>0.89999988690816801</c:v>
                </c:pt>
                <c:pt idx="50">
                  <c:v>0.89999992030551923</c:v>
                </c:pt>
                <c:pt idx="51">
                  <c:v>0.89999994384024173</c:v>
                </c:pt>
                <c:pt idx="52">
                  <c:v>0.89999996042488384</c:v>
                </c:pt>
                <c:pt idx="53">
                  <c:v>0.89999997211188532</c:v>
                </c:pt>
                <c:pt idx="54">
                  <c:v>0.89999998034757689</c:v>
                </c:pt>
                <c:pt idx="55">
                  <c:v>0.89999998615117105</c:v>
                </c:pt>
                <c:pt idx="56">
                  <c:v>0.89999999024089505</c:v>
                </c:pt>
                <c:pt idx="57">
                  <c:v>0.89999999312287482</c:v>
                </c:pt>
                <c:pt idx="58">
                  <c:v>0.89999999515377183</c:v>
                </c:pt>
                <c:pt idx="59">
                  <c:v>0.89999999658492069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D5-4428-AB21-5CBDBA5A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t>Occupancy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EGI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'Revenue Forecast'!$F$3</c:f>
              <c:strCache>
                <c:ptCount val="1"/>
                <c:pt idx="0">
                  <c:v>Total EGI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'Revenue Forecast'!$A$4:$A$8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'Revenue Forecast'!$F$4:$F$8</c:f>
              <c:numCache>
                <c:formatCode>\$#,##0;[Red]\(\$#,##0\);\-</c:formatCode>
                <c:ptCount val="5"/>
                <c:pt idx="0">
                  <c:v>1064309.1109547783</c:v>
                </c:pt>
                <c:pt idx="1">
                  <c:v>1285590.4560678627</c:v>
                </c:pt>
                <c:pt idx="2">
                  <c:v>1494168.4541609637</c:v>
                </c:pt>
                <c:pt idx="3">
                  <c:v>1713038.7145608349</c:v>
                </c:pt>
                <c:pt idx="4">
                  <c:v>1784969.0002001703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9-4B43-8733-FF0EC4911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432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4320000" cy="252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693420</xdr:colOff>
      <xdr:row>33</xdr:row>
      <xdr:rowOff>76200</xdr:rowOff>
    </xdr:to>
    <xdr:sp macro="" textlink="">
      <xdr:nvSpPr>
        <xdr:cNvPr id="2084" name="Text Box 36" hidden="1">
          <a:extLst>
            <a:ext uri="{FF2B5EF4-FFF2-40B4-BE49-F238E27FC236}">
              <a16:creationId xmlns:a16="http://schemas.microsoft.com/office/drawing/2014/main" id="{CFF7D627-A447-C1CE-FB49-E15F5AAB894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693420</xdr:colOff>
      <xdr:row>33</xdr:row>
      <xdr:rowOff>76200</xdr:rowOff>
    </xdr:to>
    <xdr:sp macro="" textlink="">
      <xdr:nvSpPr>
        <xdr:cNvPr id="2" name="AutoShape 36">
          <a:extLst>
            <a:ext uri="{FF2B5EF4-FFF2-40B4-BE49-F238E27FC236}">
              <a16:creationId xmlns:a16="http://schemas.microsoft.com/office/drawing/2014/main" id="{2D441E90-424D-91A2-61F5-CECB335F82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468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432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showGridLines="0" topLeftCell="A11" zoomScaleNormal="100" workbookViewId="0">
      <selection activeCell="B7" sqref="B7"/>
    </sheetView>
  </sheetViews>
  <sheetFormatPr defaultRowHeight="14.4" x14ac:dyDescent="0.3"/>
  <cols>
    <col min="1" max="1" width="34" customWidth="1"/>
    <col min="2" max="29" width="15" customWidth="1"/>
  </cols>
  <sheetData>
    <row r="1" spans="1:12" ht="18" customHeight="1" x14ac:dyDescent="0.35">
      <c r="A1" s="59" t="s">
        <v>0</v>
      </c>
      <c r="B1" s="60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 customHeight="1" x14ac:dyDescent="0.3">
      <c r="A3" s="58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ht="18" customHeight="1" x14ac:dyDescent="0.3">
      <c r="A4" s="3" t="s">
        <v>2</v>
      </c>
      <c r="B4" s="4">
        <f>Inputs!B4</f>
        <v>4250000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" customHeight="1" x14ac:dyDescent="0.3">
      <c r="A5" s="3" t="s">
        <v>3</v>
      </c>
      <c r="B5" s="4">
        <f>'Debt &amp; Refi'!B4</f>
        <v>4612500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" customHeight="1" x14ac:dyDescent="0.3">
      <c r="A6" s="3" t="s">
        <v>4</v>
      </c>
      <c r="B6" s="4">
        <f>'Debt &amp; Refi'!B6</f>
        <v>4612500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" customHeight="1" x14ac:dyDescent="0.3">
      <c r="A7" s="3" t="s">
        <v>5</v>
      </c>
      <c r="B7" s="4">
        <f>'Operating Expenses'!B17</f>
        <v>526093.65540703945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" customHeight="1" x14ac:dyDescent="0.3">
      <c r="A8" s="3" t="s">
        <v>6</v>
      </c>
      <c r="B8" s="4">
        <f>'Operating Expenses'!F17</f>
        <v>1190879.8424329695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" customHeight="1" x14ac:dyDescent="0.3">
      <c r="A9" s="3" t="s">
        <v>7</v>
      </c>
      <c r="B9" s="5">
        <f>'Returns Summary'!B16</f>
        <v>0.40394316718926571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" customHeight="1" x14ac:dyDescent="0.3">
      <c r="A10" s="3" t="s">
        <v>8</v>
      </c>
      <c r="B10" s="6">
        <f>'Returns Summary'!B17</f>
        <v>4.5405442032046137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" customHeight="1" x14ac:dyDescent="0.3">
      <c r="A11" s="3" t="s">
        <v>9</v>
      </c>
      <c r="B11" s="5">
        <f>'Returns Summary'!B18</f>
        <v>0.21011815082318744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" customHeight="1" x14ac:dyDescent="0.3">
      <c r="A12" s="3" t="s">
        <v>10</v>
      </c>
      <c r="B12" s="5" t="str">
        <f>'Returns Summary'!B19</f>
        <v>N/A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" customHeight="1" x14ac:dyDescent="0.3">
      <c r="A13" s="3" t="s">
        <v>11</v>
      </c>
      <c r="B13" s="5" t="str">
        <f>'Returns Summary'!B20</f>
        <v>N/A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" customHeight="1" x14ac:dyDescent="0.3">
      <c r="A14" s="3" t="s">
        <v>12</v>
      </c>
      <c r="B14" s="4">
        <f>'Returns Summary'!B15</f>
        <v>16425928.861144409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" customHeight="1" x14ac:dyDescent="0.3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" customHeight="1" x14ac:dyDescent="0.3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" customHeight="1" x14ac:dyDescent="0.3">
      <c r="A17" s="58" t="s">
        <v>13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1:12" ht="18" customHeight="1" x14ac:dyDescent="0.3">
      <c r="A18" s="2" t="s">
        <v>14</v>
      </c>
      <c r="B18" s="7" t="str">
        <f>IF(ISNUMBER(B12),IF(B12&gt;=Inputs!B29,"PASS","FAIL"),"N/A - Unlevered")</f>
        <v>N/A - Unlevered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" customHeight="1" x14ac:dyDescent="0.3">
      <c r="A19" s="2" t="s">
        <v>15</v>
      </c>
      <c r="B19" s="8" t="str">
        <f>IF(ISNUMBER(B13),IF(B13&gt;=8%,"PASS","WATCH"),"N/A - Unlevered")</f>
        <v>N/A - Unlevered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" customHeight="1" x14ac:dyDescent="0.3">
      <c r="A20" s="2" t="s">
        <v>16</v>
      </c>
      <c r="B20" s="7">
        <f>Inputs!B34-Inputs!B26</f>
        <v>29.55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" customHeight="1" x14ac:dyDescent="0.3">
      <c r="A21" s="2" t="s">
        <v>17</v>
      </c>
      <c r="B21" s="7">
        <f>Inputs!B14</f>
        <v>0.9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" customHeight="1" x14ac:dyDescent="0.3"/>
    <row r="23" spans="1:12" ht="18" customHeight="1" x14ac:dyDescent="0.3">
      <c r="A23" s="31" t="s">
        <v>18</v>
      </c>
      <c r="B23" s="31"/>
    </row>
    <row r="24" spans="1:12" ht="18" customHeight="1" x14ac:dyDescent="0.3">
      <c r="A24" s="33" t="s">
        <v>19</v>
      </c>
      <c r="B24" s="35">
        <f>'Returns Summary'!B23</f>
        <v>0.14687227140599979</v>
      </c>
    </row>
    <row r="25" spans="1:12" ht="18" customHeight="1" x14ac:dyDescent="0.3">
      <c r="A25" s="33" t="s">
        <v>20</v>
      </c>
      <c r="B25" s="36">
        <f>'Returns Summary'!B24</f>
        <v>1.8700096298464699</v>
      </c>
    </row>
    <row r="26" spans="1:12" ht="18" customHeight="1" x14ac:dyDescent="0.3">
      <c r="A26" s="33" t="s">
        <v>21</v>
      </c>
      <c r="B26" s="35">
        <f>'Returns Summary'!B25</f>
        <v>8.00763903917667E-2</v>
      </c>
    </row>
    <row r="27" spans="1:12" ht="18" customHeight="1" x14ac:dyDescent="0.3">
      <c r="A27" s="33" t="s">
        <v>22</v>
      </c>
      <c r="B27" s="34">
        <f>'Returns Summary'!B26</f>
        <v>15534421.9065238</v>
      </c>
    </row>
    <row r="28" spans="1:12" ht="18" customHeight="1" x14ac:dyDescent="0.3">
      <c r="A28" s="33" t="s">
        <v>23</v>
      </c>
      <c r="B28" s="35">
        <f>'Returns Summary'!B28</f>
        <v>0.10575075945755601</v>
      </c>
    </row>
    <row r="29" spans="1:12" ht="18" customHeight="1" x14ac:dyDescent="0.3"/>
    <row r="30" spans="1:12" ht="18" customHeight="1" x14ac:dyDescent="0.3">
      <c r="A30" s="44" t="s">
        <v>24</v>
      </c>
      <c r="B30" s="44"/>
    </row>
    <row r="31" spans="1:12" ht="18" customHeight="1" x14ac:dyDescent="0.3">
      <c r="A31" t="s">
        <v>25</v>
      </c>
      <c r="B31" s="36">
        <f>'Returns Summary'!B32</f>
        <v>3.8484353625636905</v>
      </c>
    </row>
    <row r="32" spans="1:12" ht="18" customHeight="1" x14ac:dyDescent="0.3">
      <c r="A32" t="s">
        <v>26</v>
      </c>
      <c r="B32" s="36" t="str">
        <f>'Returns Summary'!B33</f>
        <v>N/A</v>
      </c>
    </row>
    <row r="33" spans="1:2" ht="18" customHeight="1" x14ac:dyDescent="0.3">
      <c r="A33" t="s">
        <v>27</v>
      </c>
      <c r="B33" s="36">
        <f>'Returns Summary'!B34</f>
        <v>4.5405442032046137</v>
      </c>
    </row>
    <row r="34" spans="1:2" ht="18" customHeight="1" x14ac:dyDescent="0.3">
      <c r="A34" t="s">
        <v>28</v>
      </c>
      <c r="B34" s="36">
        <f>'Returns Summary'!B35</f>
        <v>0.25818533169278474</v>
      </c>
    </row>
    <row r="35" spans="1:2" ht="18" customHeight="1" x14ac:dyDescent="0.3">
      <c r="A35" t="s">
        <v>29</v>
      </c>
      <c r="B35" s="35">
        <f>'Returns Summary'!B36</f>
        <v>7.2499999999999995E-2</v>
      </c>
    </row>
    <row r="36" spans="1:2" ht="18" customHeight="1" x14ac:dyDescent="0.3">
      <c r="B36" s="35"/>
    </row>
    <row r="37" spans="1:2" ht="18" customHeight="1" x14ac:dyDescent="0.3">
      <c r="A37" s="44" t="s">
        <v>30</v>
      </c>
      <c r="B37" s="44"/>
    </row>
    <row r="38" spans="1:2" ht="18" customHeight="1" x14ac:dyDescent="0.3">
      <c r="A38" t="s">
        <v>31</v>
      </c>
      <c r="B38" s="46">
        <f>'Returns Summary'!B39</f>
        <v>89.005235602094245</v>
      </c>
    </row>
    <row r="39" spans="1:2" ht="18" customHeight="1" x14ac:dyDescent="0.3">
      <c r="A39" t="s">
        <v>32</v>
      </c>
      <c r="B39" s="46">
        <f>'Returns Summary'!B40</f>
        <v>8415.8415841584156</v>
      </c>
    </row>
    <row r="40" spans="1:2" ht="18" customHeight="1" x14ac:dyDescent="0.3">
      <c r="A40" t="s">
        <v>33</v>
      </c>
      <c r="B40" s="35">
        <f>'Returns Summary'!B42</f>
        <v>0.28020702174893397</v>
      </c>
    </row>
    <row r="41" spans="1:2" ht="18" customHeight="1" x14ac:dyDescent="0.3">
      <c r="A41" t="s">
        <v>34</v>
      </c>
      <c r="B41" s="35">
        <f>'Returns Summary'!B41</f>
        <v>0.12378674244871517</v>
      </c>
    </row>
    <row r="42" spans="1:2" ht="18" customHeight="1" x14ac:dyDescent="0.3">
      <c r="A42" t="s">
        <v>35</v>
      </c>
      <c r="B42" t="str">
        <f>'Returns Summary'!B46</f>
        <v>Levered</v>
      </c>
    </row>
    <row r="43" spans="1:2" ht="18" customHeight="1" x14ac:dyDescent="0.3">
      <c r="A43" t="s">
        <v>36</v>
      </c>
      <c r="B43" t="s">
        <v>99</v>
      </c>
    </row>
    <row r="44" spans="1:2" ht="18" customHeight="1" x14ac:dyDescent="0.3"/>
    <row r="45" spans="1:2" ht="18" customHeight="1" x14ac:dyDescent="0.3"/>
    <row r="46" spans="1:2" ht="18" customHeight="1" x14ac:dyDescent="0.3"/>
    <row r="47" spans="1:2" ht="18" customHeight="1" x14ac:dyDescent="0.3"/>
    <row r="48" spans="1:2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3">
    <mergeCell ref="A3:L3"/>
    <mergeCell ref="A1:L1"/>
    <mergeCell ref="A17:L17"/>
  </mergeCells>
  <conditionalFormatting sqref="B18:B19">
    <cfRule type="cellIs" dxfId="0" priority="1" operator="equal">
      <formula>"FAIL"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showGridLines="0" workbookViewId="0">
      <selection sqref="A1:J1"/>
    </sheetView>
  </sheetViews>
  <sheetFormatPr defaultRowHeight="14.4" x14ac:dyDescent="0.3"/>
  <cols>
    <col min="1" max="1" width="34" customWidth="1"/>
    <col min="2" max="2" width="120.33203125" customWidth="1"/>
    <col min="3" max="29" width="15" customWidth="1"/>
  </cols>
  <sheetData>
    <row r="1" spans="1:10" ht="18" customHeight="1" x14ac:dyDescent="0.35">
      <c r="A1" s="56" t="s">
        <v>37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3">
      <c r="A3" s="3" t="s">
        <v>38</v>
      </c>
      <c r="B3" s="1" t="s">
        <v>39</v>
      </c>
      <c r="C3" s="1"/>
      <c r="D3" s="1"/>
      <c r="E3" s="1"/>
      <c r="F3" s="1"/>
      <c r="G3" s="1"/>
      <c r="H3" s="1"/>
      <c r="I3" s="1"/>
      <c r="J3" s="1"/>
    </row>
    <row r="4" spans="1:10" ht="18" customHeight="1" x14ac:dyDescent="0.3">
      <c r="A4" s="3" t="s">
        <v>40</v>
      </c>
      <c r="B4" s="1" t="s">
        <v>41</v>
      </c>
      <c r="C4" s="1"/>
      <c r="D4" s="1"/>
      <c r="E4" s="1"/>
      <c r="F4" s="1"/>
      <c r="G4" s="1"/>
      <c r="H4" s="1"/>
      <c r="I4" s="1"/>
      <c r="J4" s="1"/>
    </row>
    <row r="5" spans="1:10" ht="18" customHeight="1" x14ac:dyDescent="0.3">
      <c r="A5" s="3" t="s">
        <v>42</v>
      </c>
      <c r="B5" s="1" t="s">
        <v>43</v>
      </c>
      <c r="C5" s="1"/>
      <c r="D5" s="1"/>
      <c r="E5" s="1"/>
      <c r="F5" s="1"/>
      <c r="G5" s="1"/>
      <c r="H5" s="1"/>
      <c r="I5" s="1"/>
      <c r="J5" s="1"/>
    </row>
    <row r="6" spans="1:10" ht="18" customHeight="1" x14ac:dyDescent="0.3">
      <c r="A6" s="3" t="s">
        <v>44</v>
      </c>
      <c r="B6" s="1" t="s">
        <v>45</v>
      </c>
      <c r="C6" s="1"/>
      <c r="D6" s="1"/>
      <c r="E6" s="1"/>
      <c r="F6" s="1"/>
      <c r="G6" s="1"/>
      <c r="H6" s="1"/>
      <c r="I6" s="1"/>
      <c r="J6" s="1"/>
    </row>
    <row r="7" spans="1:10" ht="18" customHeight="1" x14ac:dyDescent="0.3">
      <c r="A7" s="2"/>
      <c r="B7" s="1"/>
      <c r="C7" s="1"/>
      <c r="D7" s="1"/>
      <c r="E7" s="1"/>
      <c r="F7" s="1"/>
      <c r="G7" s="1"/>
      <c r="H7" s="1"/>
      <c r="I7" s="1"/>
      <c r="J7" s="1"/>
    </row>
    <row r="8" spans="1:10" ht="18" customHeight="1" x14ac:dyDescent="0.3">
      <c r="A8" s="2"/>
      <c r="B8" s="1"/>
      <c r="C8" s="1"/>
      <c r="D8" s="1"/>
      <c r="E8" s="1"/>
      <c r="F8" s="1"/>
      <c r="G8" s="1"/>
      <c r="H8" s="1"/>
      <c r="I8" s="1"/>
      <c r="J8" s="1"/>
    </row>
    <row r="9" spans="1:10" ht="18" customHeight="1" x14ac:dyDescent="0.3">
      <c r="A9" s="58" t="s">
        <v>46</v>
      </c>
      <c r="B9" s="57"/>
      <c r="C9" s="57"/>
      <c r="D9" s="57"/>
      <c r="E9" s="57"/>
      <c r="F9" s="57"/>
      <c r="G9" s="57"/>
      <c r="H9" s="57"/>
      <c r="I9" s="57"/>
      <c r="J9" s="57"/>
    </row>
    <row r="10" spans="1:10" ht="18" customHeight="1" x14ac:dyDescent="0.3">
      <c r="A10" s="2" t="s">
        <v>47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 x14ac:dyDescent="0.3">
      <c r="A11" s="2" t="s">
        <v>48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 x14ac:dyDescent="0.3">
      <c r="A12" s="2" t="s">
        <v>49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3">
      <c r="A13" s="2" t="s">
        <v>50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8" customHeight="1" x14ac:dyDescent="0.3">
      <c r="A14" s="2" t="s">
        <v>51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 x14ac:dyDescent="0.3">
      <c r="A15" s="2" t="s">
        <v>52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 x14ac:dyDescent="0.3">
      <c r="A16" s="2" t="s">
        <v>53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8" customHeight="1" x14ac:dyDescent="0.3">
      <c r="A17" s="2" t="s">
        <v>54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8" customHeight="1" x14ac:dyDescent="0.3">
      <c r="A18" s="2" t="s">
        <v>55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8" customHeight="1" x14ac:dyDescent="0.3">
      <c r="A19" s="2" t="s">
        <v>56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8" customHeight="1" x14ac:dyDescent="0.3"/>
    <row r="21" spans="1:10" ht="18" customHeight="1" x14ac:dyDescent="0.3"/>
    <row r="22" spans="1:10" ht="18" customHeight="1" x14ac:dyDescent="0.3"/>
    <row r="23" spans="1:10" ht="18" customHeight="1" x14ac:dyDescent="0.3"/>
    <row r="24" spans="1:10" ht="18" customHeight="1" x14ac:dyDescent="0.3"/>
    <row r="25" spans="1:10" ht="18" customHeight="1" x14ac:dyDescent="0.3"/>
    <row r="26" spans="1:10" ht="18" customHeight="1" x14ac:dyDescent="0.3"/>
    <row r="27" spans="1:10" ht="18" customHeight="1" x14ac:dyDescent="0.3"/>
    <row r="28" spans="1:10" ht="18" customHeight="1" x14ac:dyDescent="0.3"/>
    <row r="29" spans="1:10" ht="18" customHeight="1" x14ac:dyDescent="0.3"/>
    <row r="30" spans="1:10" ht="18" customHeight="1" x14ac:dyDescent="0.3"/>
    <row r="31" spans="1:10" ht="18" customHeight="1" x14ac:dyDescent="0.3"/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2">
    <mergeCell ref="A1:J1"/>
    <mergeCell ref="A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9"/>
  <sheetViews>
    <sheetView showGridLines="0" tabSelected="1" workbookViewId="0">
      <selection activeCell="B28" sqref="B28"/>
    </sheetView>
  </sheetViews>
  <sheetFormatPr defaultRowHeight="14.4" x14ac:dyDescent="0.3"/>
  <cols>
    <col min="1" max="1" width="34" customWidth="1"/>
    <col min="2" max="2" width="22" customWidth="1"/>
    <col min="3" max="29" width="15" customWidth="1"/>
  </cols>
  <sheetData>
    <row r="1" spans="1:8" ht="18" customHeight="1" x14ac:dyDescent="0.35">
      <c r="A1" s="56" t="s">
        <v>57</v>
      </c>
      <c r="B1" s="57"/>
      <c r="C1" s="57"/>
      <c r="D1" s="57"/>
      <c r="E1" s="57"/>
      <c r="F1" s="57"/>
      <c r="G1" s="57"/>
      <c r="H1" s="57"/>
    </row>
    <row r="2" spans="1:8" ht="18" customHeight="1" x14ac:dyDescent="0.3">
      <c r="A2" s="2"/>
      <c r="B2" s="1"/>
      <c r="C2" s="1"/>
      <c r="D2" s="1"/>
      <c r="E2" s="1"/>
      <c r="F2" s="1"/>
      <c r="G2" s="1"/>
      <c r="H2" s="1"/>
    </row>
    <row r="3" spans="1:8" ht="18" customHeight="1" x14ac:dyDescent="0.3">
      <c r="A3" s="58" t="s">
        <v>58</v>
      </c>
      <c r="B3" s="57"/>
      <c r="C3" s="57"/>
      <c r="D3" s="57"/>
      <c r="E3" s="57"/>
      <c r="F3" s="57"/>
      <c r="G3" s="57"/>
      <c r="H3" s="57"/>
    </row>
    <row r="4" spans="1:8" ht="18" customHeight="1" x14ac:dyDescent="0.3">
      <c r="A4" s="2" t="s">
        <v>2</v>
      </c>
      <c r="B4" s="9">
        <v>4250000</v>
      </c>
      <c r="C4" s="1"/>
      <c r="D4" s="1"/>
      <c r="E4" s="1"/>
      <c r="F4" s="1"/>
      <c r="G4" s="1"/>
      <c r="H4" s="1"/>
    </row>
    <row r="5" spans="1:8" ht="18" customHeight="1" x14ac:dyDescent="0.3">
      <c r="A5" s="2" t="s">
        <v>59</v>
      </c>
      <c r="B5" s="10">
        <v>0.03</v>
      </c>
      <c r="C5" s="1"/>
      <c r="D5" s="1"/>
      <c r="E5" s="1"/>
      <c r="F5" s="1"/>
      <c r="G5" s="1"/>
      <c r="H5" s="1"/>
    </row>
    <row r="6" spans="1:8" ht="18" customHeight="1" x14ac:dyDescent="0.3">
      <c r="A6" s="2" t="s">
        <v>60</v>
      </c>
      <c r="B6" s="9">
        <v>150000</v>
      </c>
      <c r="C6" s="1"/>
      <c r="D6" s="1"/>
      <c r="E6" s="1"/>
      <c r="F6" s="1"/>
      <c r="G6" s="1"/>
      <c r="H6" s="1"/>
    </row>
    <row r="7" spans="1:8" ht="18" customHeight="1" x14ac:dyDescent="0.3">
      <c r="A7" s="2" t="s">
        <v>61</v>
      </c>
      <c r="B7" s="10">
        <v>0.02</v>
      </c>
      <c r="C7" s="1"/>
      <c r="D7" s="1"/>
      <c r="E7" s="1"/>
      <c r="F7" s="1"/>
      <c r="G7" s="1"/>
      <c r="H7" s="1"/>
    </row>
    <row r="8" spans="1:8" ht="18" customHeight="1" x14ac:dyDescent="0.3">
      <c r="A8" s="2" t="s">
        <v>62</v>
      </c>
      <c r="B8" s="10">
        <v>1.4999999999999999E-2</v>
      </c>
      <c r="C8" s="1"/>
      <c r="D8" s="1"/>
      <c r="E8" s="1"/>
      <c r="F8" s="1"/>
      <c r="G8" s="1"/>
      <c r="H8" s="1"/>
    </row>
    <row r="9" spans="1:8" ht="18" customHeight="1" x14ac:dyDescent="0.3">
      <c r="A9" s="2" t="s">
        <v>63</v>
      </c>
      <c r="B9" s="10">
        <v>0.01</v>
      </c>
      <c r="C9" s="1"/>
      <c r="D9" s="1"/>
      <c r="E9" s="1"/>
      <c r="F9" s="1"/>
      <c r="G9" s="1"/>
      <c r="H9" s="1"/>
    </row>
    <row r="10" spans="1:8" ht="18" customHeight="1" x14ac:dyDescent="0.3">
      <c r="A10" s="2" t="s">
        <v>64</v>
      </c>
      <c r="B10" s="10">
        <v>0</v>
      </c>
      <c r="C10" s="1"/>
      <c r="D10" s="1"/>
      <c r="E10" s="1"/>
      <c r="F10" s="1"/>
      <c r="G10" s="1"/>
      <c r="H10" s="1"/>
    </row>
    <row r="11" spans="1:8" ht="18" customHeight="1" x14ac:dyDescent="0.3">
      <c r="A11" s="2"/>
      <c r="B11" s="1"/>
      <c r="C11" s="1"/>
      <c r="D11" s="1"/>
      <c r="E11" s="1"/>
      <c r="F11" s="1"/>
      <c r="G11" s="1"/>
      <c r="H11" s="1"/>
    </row>
    <row r="12" spans="1:8" ht="18" customHeight="1" x14ac:dyDescent="0.3">
      <c r="A12" s="58" t="s">
        <v>65</v>
      </c>
      <c r="B12" s="57"/>
      <c r="C12" s="57"/>
      <c r="D12" s="57"/>
      <c r="E12" s="57"/>
      <c r="F12" s="57"/>
      <c r="G12" s="57"/>
      <c r="H12" s="57"/>
    </row>
    <row r="13" spans="1:8" ht="18" customHeight="1" x14ac:dyDescent="0.3">
      <c r="A13" s="2" t="s">
        <v>66</v>
      </c>
      <c r="B13" s="10">
        <v>0.70699999999999996</v>
      </c>
      <c r="C13" s="1"/>
      <c r="D13" s="1"/>
      <c r="E13" s="1"/>
      <c r="F13" s="1"/>
      <c r="G13" s="1"/>
      <c r="H13" s="1"/>
    </row>
    <row r="14" spans="1:8" ht="18" customHeight="1" x14ac:dyDescent="0.3">
      <c r="A14" s="2" t="s">
        <v>67</v>
      </c>
      <c r="B14" s="10">
        <v>0.9</v>
      </c>
      <c r="C14" s="1"/>
      <c r="D14" s="1"/>
      <c r="E14" s="1"/>
      <c r="F14" s="1"/>
      <c r="G14" s="1"/>
      <c r="H14" s="1"/>
    </row>
    <row r="15" spans="1:8" ht="18" customHeight="1" x14ac:dyDescent="0.3">
      <c r="A15" s="2" t="s">
        <v>68</v>
      </c>
      <c r="B15" s="11">
        <v>18</v>
      </c>
      <c r="C15" s="1"/>
      <c r="D15" s="1"/>
      <c r="E15" s="1"/>
      <c r="F15" s="1"/>
      <c r="G15" s="1"/>
      <c r="H15" s="1"/>
    </row>
    <row r="16" spans="1:8" ht="18" customHeight="1" x14ac:dyDescent="0.3">
      <c r="A16" s="2" t="s">
        <v>69</v>
      </c>
      <c r="B16" s="12" t="s">
        <v>70</v>
      </c>
      <c r="C16" s="1"/>
      <c r="D16" s="1"/>
      <c r="E16" s="1"/>
      <c r="F16" s="1"/>
      <c r="G16" s="1"/>
      <c r="H16" s="1"/>
    </row>
    <row r="17" spans="1:8" ht="18" customHeight="1" x14ac:dyDescent="0.3">
      <c r="A17" s="2" t="s">
        <v>71</v>
      </c>
      <c r="B17" s="10">
        <v>0.03</v>
      </c>
      <c r="C17" s="1"/>
      <c r="D17" s="1"/>
      <c r="E17" s="1"/>
      <c r="F17" s="1"/>
      <c r="G17" s="1"/>
      <c r="H17" s="1"/>
    </row>
    <row r="18" spans="1:8" ht="18" customHeight="1" x14ac:dyDescent="0.3">
      <c r="A18" s="2" t="s">
        <v>72</v>
      </c>
      <c r="B18" s="10">
        <v>0.05</v>
      </c>
      <c r="C18" s="1"/>
      <c r="D18" s="1"/>
      <c r="E18" s="1"/>
      <c r="F18" s="1"/>
      <c r="G18" s="1"/>
      <c r="H18" s="1"/>
    </row>
    <row r="19" spans="1:8" ht="18" customHeight="1" x14ac:dyDescent="0.3">
      <c r="A19" s="2" t="s">
        <v>73</v>
      </c>
      <c r="B19" s="10">
        <v>0.04</v>
      </c>
      <c r="C19" s="1"/>
      <c r="D19" s="1"/>
      <c r="E19" s="1"/>
      <c r="F19" s="1"/>
      <c r="G19" s="1"/>
      <c r="H19" s="1"/>
    </row>
    <row r="20" spans="1:8" ht="18" customHeight="1" x14ac:dyDescent="0.3">
      <c r="A20" s="2" t="s">
        <v>74</v>
      </c>
      <c r="B20" s="10">
        <v>0.05</v>
      </c>
      <c r="C20" s="1"/>
      <c r="D20" s="1"/>
      <c r="E20" s="1"/>
      <c r="F20" s="1"/>
      <c r="G20" s="1"/>
      <c r="H20" s="1"/>
    </row>
    <row r="21" spans="1:8" ht="18" customHeight="1" x14ac:dyDescent="0.3">
      <c r="A21" s="2" t="s">
        <v>75</v>
      </c>
      <c r="B21" s="9">
        <v>2500</v>
      </c>
      <c r="C21" s="1"/>
      <c r="D21" s="1"/>
      <c r="E21" s="1"/>
      <c r="F21" s="1"/>
      <c r="G21" s="1"/>
      <c r="H21" s="1"/>
    </row>
    <row r="22" spans="1:8" ht="18" customHeight="1" x14ac:dyDescent="0.3">
      <c r="A22" s="2" t="s">
        <v>76</v>
      </c>
      <c r="B22" s="10">
        <v>2.5000000000000001E-2</v>
      </c>
      <c r="C22" s="1"/>
      <c r="D22" s="1"/>
      <c r="E22" s="1"/>
      <c r="F22" s="1"/>
      <c r="G22" s="1"/>
      <c r="H22" s="1"/>
    </row>
    <row r="23" spans="1:8" ht="18" customHeight="1" x14ac:dyDescent="0.3">
      <c r="A23" s="2"/>
      <c r="B23" s="1"/>
      <c r="C23" s="1"/>
      <c r="D23" s="1"/>
      <c r="E23" s="1"/>
      <c r="F23" s="1"/>
      <c r="G23" s="1"/>
      <c r="H23" s="1"/>
    </row>
    <row r="24" spans="1:8" ht="18" customHeight="1" x14ac:dyDescent="0.3">
      <c r="A24" s="2"/>
      <c r="B24" s="1"/>
      <c r="C24" s="1"/>
      <c r="D24" s="1"/>
      <c r="E24" s="1"/>
      <c r="F24" s="1"/>
      <c r="G24" s="1"/>
      <c r="H24" s="1"/>
    </row>
    <row r="25" spans="1:8" ht="18" customHeight="1" x14ac:dyDescent="0.3">
      <c r="A25" s="58" t="s">
        <v>77</v>
      </c>
      <c r="B25" s="57"/>
      <c r="C25" s="57"/>
      <c r="D25" s="57"/>
      <c r="E25" s="57"/>
      <c r="F25" s="57"/>
      <c r="G25" s="57"/>
      <c r="H25" s="57"/>
    </row>
    <row r="26" spans="1:8" ht="18" customHeight="1" x14ac:dyDescent="0.3">
      <c r="A26" s="2" t="s">
        <v>78</v>
      </c>
      <c r="B26" s="10">
        <v>0.45</v>
      </c>
      <c r="C26" s="1"/>
      <c r="D26" s="1"/>
      <c r="E26" s="1"/>
      <c r="F26" s="1"/>
      <c r="G26" s="1"/>
      <c r="H26" s="1"/>
    </row>
    <row r="27" spans="1:8" ht="18" customHeight="1" x14ac:dyDescent="0.3">
      <c r="A27" s="2" t="s">
        <v>79</v>
      </c>
      <c r="B27" s="10">
        <v>8.5000000000000006E-2</v>
      </c>
      <c r="C27" s="1"/>
      <c r="D27" s="1"/>
      <c r="E27" s="1"/>
      <c r="F27" s="1"/>
      <c r="G27" s="1"/>
      <c r="H27" s="1"/>
    </row>
    <row r="28" spans="1:8" ht="18" customHeight="1" x14ac:dyDescent="0.3">
      <c r="A28" s="2" t="s">
        <v>80</v>
      </c>
      <c r="B28" s="11">
        <v>30</v>
      </c>
      <c r="C28" s="1"/>
      <c r="D28" s="1"/>
      <c r="E28" s="1"/>
      <c r="F28" s="1"/>
      <c r="G28" s="1"/>
      <c r="H28" s="1"/>
    </row>
    <row r="29" spans="1:8" ht="18" customHeight="1" x14ac:dyDescent="0.3">
      <c r="A29" s="2" t="s">
        <v>81</v>
      </c>
      <c r="B29" s="11">
        <v>24</v>
      </c>
      <c r="C29" s="1"/>
      <c r="D29" s="1"/>
      <c r="E29" s="1"/>
      <c r="F29" s="1"/>
      <c r="G29" s="1"/>
      <c r="H29" s="1"/>
    </row>
    <row r="30" spans="1:8" ht="18" customHeight="1" x14ac:dyDescent="0.3">
      <c r="A30" s="2" t="s">
        <v>82</v>
      </c>
      <c r="B30" s="13">
        <v>1.25</v>
      </c>
      <c r="C30" s="1"/>
      <c r="D30" s="1"/>
      <c r="E30" s="1"/>
      <c r="F30" s="1"/>
      <c r="G30" s="1"/>
      <c r="H30" s="1"/>
    </row>
    <row r="31" spans="1:8" ht="18" customHeight="1" x14ac:dyDescent="0.3">
      <c r="A31" s="2" t="s">
        <v>83</v>
      </c>
      <c r="B31" s="11">
        <v>24</v>
      </c>
      <c r="C31" s="1"/>
      <c r="D31" s="1"/>
      <c r="E31" s="1"/>
      <c r="F31" s="1"/>
      <c r="G31" s="1"/>
      <c r="H31" s="1"/>
    </row>
    <row r="32" spans="1:8" ht="18" customHeight="1" x14ac:dyDescent="0.3">
      <c r="A32" s="2" t="s">
        <v>84</v>
      </c>
      <c r="B32" s="10">
        <v>0.65</v>
      </c>
      <c r="C32" s="1"/>
      <c r="D32" s="1"/>
      <c r="E32" s="1"/>
      <c r="F32" s="1"/>
      <c r="G32" s="1"/>
      <c r="H32" s="1"/>
    </row>
    <row r="33" spans="1:8" ht="18" customHeight="1" x14ac:dyDescent="0.3">
      <c r="A33" s="2" t="s">
        <v>85</v>
      </c>
      <c r="B33" s="30">
        <v>5.2499999999999998E-2</v>
      </c>
      <c r="C33" s="1"/>
      <c r="D33" s="1"/>
      <c r="E33" s="1"/>
      <c r="F33" s="1"/>
      <c r="G33" s="1"/>
      <c r="H33" s="1"/>
    </row>
    <row r="34" spans="1:8" ht="18" customHeight="1" x14ac:dyDescent="0.3">
      <c r="A34" s="2" t="s">
        <v>86</v>
      </c>
      <c r="B34" s="11">
        <v>30</v>
      </c>
      <c r="C34" s="1"/>
      <c r="D34" s="1"/>
      <c r="E34" s="1"/>
      <c r="F34" s="1"/>
      <c r="G34" s="1"/>
      <c r="H34" s="1"/>
    </row>
    <row r="35" spans="1:8" ht="18" customHeight="1" x14ac:dyDescent="0.3">
      <c r="A35" s="2" t="s">
        <v>87</v>
      </c>
      <c r="B35" s="10">
        <v>7.2499999999999995E-2</v>
      </c>
      <c r="C35" s="1"/>
      <c r="D35" s="1"/>
      <c r="E35" s="1"/>
      <c r="F35" s="1"/>
      <c r="G35" s="1"/>
      <c r="H35" s="1"/>
    </row>
    <row r="36" spans="1:8" ht="18" customHeight="1" x14ac:dyDescent="0.3">
      <c r="A36" s="2" t="s">
        <v>88</v>
      </c>
      <c r="B36" s="11">
        <v>60</v>
      </c>
      <c r="C36" s="1"/>
      <c r="D36" s="1"/>
      <c r="E36" s="1"/>
      <c r="F36" s="1"/>
      <c r="G36" s="1"/>
      <c r="H36" s="1"/>
    </row>
    <row r="37" spans="1:8" ht="18" customHeight="1" x14ac:dyDescent="0.3">
      <c r="A37" s="2" t="s">
        <v>89</v>
      </c>
      <c r="B37" s="10">
        <v>0.02</v>
      </c>
      <c r="C37" s="1"/>
      <c r="D37" s="1"/>
      <c r="E37" s="1"/>
      <c r="F37" s="1"/>
      <c r="G37" s="1"/>
      <c r="H37" s="1"/>
    </row>
    <row r="38" spans="1:8" ht="18" customHeight="1" x14ac:dyDescent="0.3">
      <c r="A38" s="2"/>
      <c r="B38" s="1"/>
      <c r="C38" s="1"/>
      <c r="D38" s="1"/>
      <c r="E38" s="1"/>
      <c r="F38" s="1"/>
      <c r="G38" s="1"/>
      <c r="H38" s="1"/>
    </row>
    <row r="39" spans="1:8" ht="18" customHeight="1" x14ac:dyDescent="0.3">
      <c r="A39" s="2"/>
      <c r="B39" s="1"/>
      <c r="C39" s="1"/>
      <c r="D39" s="1"/>
      <c r="E39" s="1"/>
      <c r="F39" s="1"/>
      <c r="G39" s="1"/>
      <c r="H39" s="1"/>
    </row>
    <row r="40" spans="1:8" ht="18" customHeight="1" x14ac:dyDescent="0.3">
      <c r="A40" s="58" t="s">
        <v>90</v>
      </c>
      <c r="B40" s="61">
        <v>0.08</v>
      </c>
      <c r="C40" s="57"/>
      <c r="D40" s="57"/>
      <c r="E40" s="57"/>
      <c r="F40" s="57"/>
      <c r="G40" s="57"/>
      <c r="H40" s="57"/>
    </row>
    <row r="41" spans="1:8" ht="18" customHeight="1" x14ac:dyDescent="0.3">
      <c r="A41" s="2" t="s">
        <v>91</v>
      </c>
      <c r="B41" s="10">
        <v>1</v>
      </c>
      <c r="C41" s="1"/>
      <c r="D41" s="1"/>
      <c r="E41" s="1"/>
      <c r="F41" s="1"/>
      <c r="G41" s="1"/>
      <c r="H41" s="1"/>
    </row>
    <row r="42" spans="1:8" ht="18" customHeight="1" x14ac:dyDescent="0.3">
      <c r="A42" s="2" t="s">
        <v>92</v>
      </c>
      <c r="B42" s="10">
        <v>0.8</v>
      </c>
      <c r="C42" s="1"/>
      <c r="D42" s="1"/>
      <c r="E42" s="1"/>
      <c r="F42" s="1"/>
      <c r="G42" s="1"/>
      <c r="H42" s="1"/>
    </row>
    <row r="43" spans="1:8" ht="18" customHeight="1" x14ac:dyDescent="0.3">
      <c r="A43" s="2" t="s">
        <v>93</v>
      </c>
      <c r="B43" s="10">
        <v>0.2</v>
      </c>
      <c r="C43" s="1"/>
      <c r="D43" s="1"/>
      <c r="E43" s="1"/>
      <c r="F43" s="1"/>
      <c r="G43" s="1"/>
      <c r="H43" s="1"/>
    </row>
    <row r="44" spans="1:8" ht="18" customHeight="1" x14ac:dyDescent="0.3">
      <c r="A44" s="2" t="s">
        <v>94</v>
      </c>
      <c r="B44" s="10">
        <v>0.08</v>
      </c>
      <c r="C44" s="1"/>
      <c r="D44" s="1"/>
      <c r="E44" s="1"/>
      <c r="F44" s="1"/>
      <c r="G44" s="1"/>
      <c r="H44" s="1"/>
    </row>
    <row r="45" spans="1:8" ht="18" customHeight="1" x14ac:dyDescent="0.3">
      <c r="A45" s="2" t="s">
        <v>95</v>
      </c>
      <c r="B45" s="10">
        <v>0.8</v>
      </c>
      <c r="C45" s="1"/>
      <c r="D45" s="1"/>
      <c r="E45" s="1"/>
      <c r="F45" s="1"/>
      <c r="G45" s="1"/>
      <c r="H45" s="1"/>
    </row>
    <row r="46" spans="1:8" ht="18" customHeight="1" x14ac:dyDescent="0.3">
      <c r="A46" s="2" t="s">
        <v>96</v>
      </c>
      <c r="B46" s="10">
        <v>0.2</v>
      </c>
      <c r="C46" s="1"/>
      <c r="D46" s="1"/>
      <c r="E46" s="1"/>
      <c r="F46" s="1"/>
      <c r="G46" s="1"/>
      <c r="H46" s="1"/>
    </row>
    <row r="47" spans="1:8" ht="18" customHeight="1" x14ac:dyDescent="0.3"/>
    <row r="48" spans="1:8" ht="18" customHeight="1" x14ac:dyDescent="0.3">
      <c r="A48" s="44" t="s">
        <v>97</v>
      </c>
      <c r="B48" s="44"/>
    </row>
    <row r="49" spans="1:2" ht="18" customHeight="1" x14ac:dyDescent="0.3">
      <c r="A49" s="39" t="s">
        <v>98</v>
      </c>
      <c r="B49" s="45" t="s">
        <v>309</v>
      </c>
    </row>
    <row r="50" spans="1:2" ht="18" customHeight="1" x14ac:dyDescent="0.3">
      <c r="A50" s="39" t="s">
        <v>100</v>
      </c>
      <c r="B50" s="45" t="str">
        <f>IF($B$49="Yes","Unlevered","Levered")</f>
        <v>Levered</v>
      </c>
    </row>
    <row r="51" spans="1:2" ht="18" customHeight="1" x14ac:dyDescent="0.3">
      <c r="A51" s="39" t="s">
        <v>101</v>
      </c>
      <c r="B51" s="45" t="s">
        <v>99</v>
      </c>
    </row>
    <row r="52" spans="1:2" ht="18" customHeight="1" x14ac:dyDescent="0.3">
      <c r="A52" s="39" t="s">
        <v>102</v>
      </c>
      <c r="B52" t="s">
        <v>103</v>
      </c>
    </row>
    <row r="53" spans="1:2" ht="18" customHeight="1" x14ac:dyDescent="0.3"/>
    <row r="54" spans="1:2" ht="18" customHeight="1" x14ac:dyDescent="0.3"/>
    <row r="55" spans="1:2" ht="18" customHeight="1" x14ac:dyDescent="0.3"/>
    <row r="56" spans="1:2" ht="18" customHeight="1" x14ac:dyDescent="0.3"/>
    <row r="57" spans="1:2" ht="18" customHeight="1" x14ac:dyDescent="0.3"/>
    <row r="58" spans="1:2" ht="18" customHeight="1" x14ac:dyDescent="0.3"/>
    <row r="59" spans="1:2" ht="18" customHeight="1" x14ac:dyDescent="0.3"/>
    <row r="60" spans="1:2" ht="18" customHeight="1" x14ac:dyDescent="0.3"/>
    <row r="61" spans="1:2" ht="18" customHeight="1" x14ac:dyDescent="0.3"/>
    <row r="62" spans="1:2" ht="18" customHeight="1" x14ac:dyDescent="0.3"/>
    <row r="63" spans="1:2" ht="18" customHeight="1" x14ac:dyDescent="0.3"/>
    <row r="64" spans="1:2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5">
    <mergeCell ref="A12:H12"/>
    <mergeCell ref="A3:H3"/>
    <mergeCell ref="A25:H25"/>
    <mergeCell ref="A1:H1"/>
    <mergeCell ref="A40:H40"/>
  </mergeCells>
  <dataValidations count="2">
    <dataValidation type="list" sqref="B16" xr:uid="{00000000-0002-0000-0200-000000000000}">
      <formula1>"Linear,Logistic,S-Curve"</formula1>
    </dataValidation>
    <dataValidation type="list" sqref="B49 B51" xr:uid="{00000000-0002-0000-0200-000001000000}">
      <formula1>"Yes,No"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9"/>
  <sheetViews>
    <sheetView showGridLines="0" workbookViewId="0">
      <selection activeCell="A26" sqref="A26"/>
    </sheetView>
  </sheetViews>
  <sheetFormatPr defaultRowHeight="14.4" x14ac:dyDescent="0.3"/>
  <cols>
    <col min="1" max="1" width="31.21875" customWidth="1"/>
    <col min="2" max="2" width="15.6640625" customWidth="1"/>
    <col min="3" max="3" width="12" customWidth="1"/>
    <col min="4" max="5" width="17" customWidth="1"/>
    <col min="6" max="6" width="18" customWidth="1"/>
    <col min="7" max="7" width="17.88671875" customWidth="1"/>
    <col min="8" max="8" width="17.6640625" customWidth="1"/>
    <col min="9" max="29" width="15" customWidth="1"/>
  </cols>
  <sheetData>
    <row r="1" spans="1:10" ht="18" customHeight="1" x14ac:dyDescent="0.35">
      <c r="A1" s="56" t="s">
        <v>104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3">
      <c r="A3" s="58" t="s">
        <v>105</v>
      </c>
      <c r="B3" s="57"/>
      <c r="C3" s="57"/>
      <c r="D3" s="57"/>
      <c r="E3" s="57"/>
      <c r="F3" s="57"/>
      <c r="G3" s="57"/>
      <c r="H3" s="57"/>
      <c r="I3" s="57"/>
      <c r="J3" s="57"/>
    </row>
    <row r="4" spans="1:10" ht="18" customHeight="1" x14ac:dyDescent="0.3">
      <c r="A4" s="14" t="s">
        <v>106</v>
      </c>
      <c r="B4" s="15" t="s">
        <v>107</v>
      </c>
      <c r="C4" s="15" t="s">
        <v>108</v>
      </c>
      <c r="D4" s="15" t="s">
        <v>109</v>
      </c>
      <c r="E4" s="15" t="s">
        <v>110</v>
      </c>
      <c r="F4" s="15" t="s">
        <v>111</v>
      </c>
      <c r="G4" s="15" t="s">
        <v>112</v>
      </c>
      <c r="H4" s="15" t="s">
        <v>113</v>
      </c>
      <c r="I4" s="1"/>
      <c r="J4" s="1"/>
    </row>
    <row r="5" spans="1:10" ht="18" customHeight="1" x14ac:dyDescent="0.3">
      <c r="A5" s="2" t="s">
        <v>114</v>
      </c>
      <c r="B5" s="12">
        <v>100</v>
      </c>
      <c r="C5" s="12">
        <v>25</v>
      </c>
      <c r="D5" s="12">
        <v>80</v>
      </c>
      <c r="E5" s="12">
        <v>90</v>
      </c>
      <c r="F5" s="16">
        <f t="shared" ref="F5:F11" si="0">IFERROR(E5/D5-1,0)</f>
        <v>0.125</v>
      </c>
      <c r="G5" s="17">
        <f t="shared" ref="G5:G10" si="1">B5*D5*12</f>
        <v>96000</v>
      </c>
      <c r="H5" s="17">
        <f t="shared" ref="H5:H10" si="2">B5*E5*12</f>
        <v>108000</v>
      </c>
      <c r="I5" s="1"/>
      <c r="J5" s="1"/>
    </row>
    <row r="6" spans="1:10" ht="18" customHeight="1" x14ac:dyDescent="0.3">
      <c r="A6" s="2" t="s">
        <v>115</v>
      </c>
      <c r="B6" s="12">
        <v>120</v>
      </c>
      <c r="C6" s="12">
        <v>50</v>
      </c>
      <c r="D6" s="12">
        <v>125</v>
      </c>
      <c r="E6" s="12">
        <v>135</v>
      </c>
      <c r="F6" s="16">
        <f t="shared" si="0"/>
        <v>8.0000000000000071E-2</v>
      </c>
      <c r="G6" s="17">
        <f t="shared" si="1"/>
        <v>180000</v>
      </c>
      <c r="H6" s="17">
        <f t="shared" si="2"/>
        <v>194400</v>
      </c>
      <c r="I6" s="1"/>
      <c r="J6" s="1"/>
    </row>
    <row r="7" spans="1:10" ht="18" customHeight="1" x14ac:dyDescent="0.3">
      <c r="A7" s="2" t="s">
        <v>116</v>
      </c>
      <c r="B7" s="12">
        <v>140</v>
      </c>
      <c r="C7" s="12">
        <v>100</v>
      </c>
      <c r="D7" s="12">
        <v>205</v>
      </c>
      <c r="E7" s="12">
        <v>225</v>
      </c>
      <c r="F7" s="16">
        <f t="shared" si="0"/>
        <v>9.7560975609756184E-2</v>
      </c>
      <c r="G7" s="17">
        <f t="shared" si="1"/>
        <v>344400</v>
      </c>
      <c r="H7" s="17">
        <f t="shared" si="2"/>
        <v>378000</v>
      </c>
      <c r="I7" s="1"/>
      <c r="J7" s="1"/>
    </row>
    <row r="8" spans="1:10" ht="18" customHeight="1" x14ac:dyDescent="0.3">
      <c r="A8" s="2" t="s">
        <v>117</v>
      </c>
      <c r="B8" s="12">
        <v>75</v>
      </c>
      <c r="C8" s="12">
        <v>150</v>
      </c>
      <c r="D8" s="12">
        <v>285</v>
      </c>
      <c r="E8" s="12">
        <v>310</v>
      </c>
      <c r="F8" s="16">
        <f t="shared" si="0"/>
        <v>8.7719298245614086E-2</v>
      </c>
      <c r="G8" s="17">
        <f t="shared" si="1"/>
        <v>256500</v>
      </c>
      <c r="H8" s="17">
        <f t="shared" si="2"/>
        <v>279000</v>
      </c>
      <c r="I8" s="1"/>
      <c r="J8" s="1"/>
    </row>
    <row r="9" spans="1:10" ht="18" customHeight="1" x14ac:dyDescent="0.3">
      <c r="A9" s="2" t="s">
        <v>118</v>
      </c>
      <c r="B9" s="12">
        <v>50</v>
      </c>
      <c r="C9" s="12">
        <v>200</v>
      </c>
      <c r="D9" s="12">
        <v>375</v>
      </c>
      <c r="E9" s="12">
        <v>410</v>
      </c>
      <c r="F9" s="16">
        <f t="shared" si="0"/>
        <v>9.3333333333333268E-2</v>
      </c>
      <c r="G9" s="17">
        <f t="shared" si="1"/>
        <v>225000</v>
      </c>
      <c r="H9" s="17">
        <f t="shared" si="2"/>
        <v>246000</v>
      </c>
      <c r="I9" s="1"/>
      <c r="J9" s="1"/>
    </row>
    <row r="10" spans="1:10" ht="18" customHeight="1" x14ac:dyDescent="0.3">
      <c r="A10" s="2" t="s">
        <v>119</v>
      </c>
      <c r="B10" s="12">
        <v>20</v>
      </c>
      <c r="C10" s="12">
        <v>200</v>
      </c>
      <c r="D10" s="12">
        <v>150</v>
      </c>
      <c r="E10" s="12">
        <v>175</v>
      </c>
      <c r="F10" s="16">
        <f t="shared" si="0"/>
        <v>0.16666666666666674</v>
      </c>
      <c r="G10" s="17">
        <f t="shared" si="1"/>
        <v>36000</v>
      </c>
      <c r="H10" s="17">
        <f t="shared" si="2"/>
        <v>42000</v>
      </c>
      <c r="I10" s="1"/>
      <c r="J10" s="1"/>
    </row>
    <row r="11" spans="1:10" ht="18" customHeight="1" x14ac:dyDescent="0.3">
      <c r="A11" s="18" t="s">
        <v>120</v>
      </c>
      <c r="B11" s="19">
        <f>SUM(B5:B10)</f>
        <v>505</v>
      </c>
      <c r="C11" s="29">
        <f>SUMPRODUCT(B5:B10,C5:C10)/B11</f>
        <v>94.554455445544548</v>
      </c>
      <c r="D11" s="20">
        <f>SUMPRODUCT(B5:B10,D5:D10)/B11</f>
        <v>187.77227722772278</v>
      </c>
      <c r="E11" s="20">
        <f>SUMPRODUCT(B5:B10,E5:E10)/B11</f>
        <v>205.84158415841586</v>
      </c>
      <c r="F11" s="21">
        <f t="shared" si="0"/>
        <v>9.622989717901409E-2</v>
      </c>
      <c r="G11" s="20">
        <f>SUM(G5:G10)</f>
        <v>1137900</v>
      </c>
      <c r="H11" s="20">
        <f>SUM(H5:H10)</f>
        <v>1247400</v>
      </c>
      <c r="I11" s="1"/>
      <c r="J11" s="1"/>
    </row>
    <row r="12" spans="1:10" ht="18" customHeight="1" x14ac:dyDescent="0.3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3">
      <c r="A13" s="2"/>
      <c r="B13" s="1"/>
      <c r="C13" s="1"/>
      <c r="D13" s="1"/>
      <c r="E13" s="1"/>
      <c r="F13" s="1"/>
      <c r="G13" s="1"/>
      <c r="H13" s="1"/>
      <c r="I13" s="1"/>
      <c r="J13" s="1"/>
    </row>
    <row r="14" spans="1:10" ht="18" customHeight="1" x14ac:dyDescent="0.3">
      <c r="A14" s="58" t="s">
        <v>121</v>
      </c>
      <c r="B14" s="57"/>
      <c r="C14" s="57"/>
      <c r="D14" s="57"/>
      <c r="E14" s="57"/>
      <c r="F14" s="57"/>
      <c r="G14" s="57"/>
      <c r="H14" s="57"/>
      <c r="I14" s="57"/>
      <c r="J14" s="57"/>
    </row>
    <row r="15" spans="1:10" ht="18" customHeight="1" x14ac:dyDescent="0.3">
      <c r="A15" s="14" t="s">
        <v>122</v>
      </c>
      <c r="B15" s="15" t="s">
        <v>123</v>
      </c>
      <c r="C15" s="15" t="s">
        <v>124</v>
      </c>
      <c r="D15" s="15" t="s">
        <v>106</v>
      </c>
      <c r="E15" s="15" t="s">
        <v>125</v>
      </c>
      <c r="F15" s="15" t="s">
        <v>126</v>
      </c>
      <c r="G15" s="15" t="s">
        <v>127</v>
      </c>
      <c r="H15" s="15" t="s">
        <v>102</v>
      </c>
      <c r="I15" s="1"/>
      <c r="J15" s="1"/>
    </row>
    <row r="16" spans="1:10" ht="18" customHeight="1" x14ac:dyDescent="0.3">
      <c r="A16" s="22" t="s">
        <v>128</v>
      </c>
      <c r="B16" s="12"/>
      <c r="C16" s="12"/>
      <c r="D16" s="12" t="s">
        <v>116</v>
      </c>
      <c r="E16" s="9">
        <v>0</v>
      </c>
      <c r="F16" s="12" t="s">
        <v>129</v>
      </c>
      <c r="G16" s="12"/>
      <c r="H16" s="12"/>
      <c r="I16" s="1"/>
      <c r="J16" s="1"/>
    </row>
    <row r="17" spans="1:10" ht="18" customHeight="1" x14ac:dyDescent="0.3">
      <c r="A17" s="22" t="s">
        <v>130</v>
      </c>
      <c r="B17" s="12"/>
      <c r="C17" s="12"/>
      <c r="D17" s="12" t="s">
        <v>116</v>
      </c>
      <c r="E17" s="9">
        <v>0</v>
      </c>
      <c r="F17" s="12" t="s">
        <v>129</v>
      </c>
      <c r="G17" s="12"/>
      <c r="H17" s="12"/>
      <c r="I17" s="1"/>
      <c r="J17" s="1"/>
    </row>
    <row r="18" spans="1:10" ht="18" customHeight="1" x14ac:dyDescent="0.3">
      <c r="A18" s="22" t="s">
        <v>131</v>
      </c>
      <c r="B18" s="12"/>
      <c r="C18" s="12"/>
      <c r="D18" s="12" t="s">
        <v>116</v>
      </c>
      <c r="E18" s="9">
        <v>0</v>
      </c>
      <c r="F18" s="12" t="s">
        <v>129</v>
      </c>
      <c r="G18" s="12"/>
      <c r="H18" s="12"/>
      <c r="I18" s="1"/>
      <c r="J18" s="1"/>
    </row>
    <row r="19" spans="1:10" ht="18" customHeight="1" x14ac:dyDescent="0.3">
      <c r="A19" s="22" t="s">
        <v>132</v>
      </c>
      <c r="B19" s="12"/>
      <c r="C19" s="12"/>
      <c r="D19" s="12" t="s">
        <v>116</v>
      </c>
      <c r="E19" s="9">
        <v>0</v>
      </c>
      <c r="F19" s="12" t="s">
        <v>129</v>
      </c>
      <c r="G19" s="12"/>
      <c r="H19" s="12"/>
      <c r="I19" s="1"/>
      <c r="J19" s="1"/>
    </row>
    <row r="20" spans="1:10" ht="18" customHeight="1" x14ac:dyDescent="0.3">
      <c r="A20" s="22" t="s">
        <v>133</v>
      </c>
      <c r="B20" s="12"/>
      <c r="C20" s="12"/>
      <c r="D20" s="12" t="s">
        <v>116</v>
      </c>
      <c r="E20" s="9">
        <v>0</v>
      </c>
      <c r="F20" s="12" t="s">
        <v>129</v>
      </c>
      <c r="G20" s="12"/>
      <c r="H20" s="12"/>
      <c r="I20" s="1"/>
      <c r="J20" s="1"/>
    </row>
    <row r="21" spans="1:10" ht="18" customHeight="1" x14ac:dyDescent="0.3">
      <c r="A21" s="22" t="s">
        <v>134</v>
      </c>
      <c r="B21" s="12"/>
      <c r="C21" s="12"/>
      <c r="D21" s="12" t="s">
        <v>116</v>
      </c>
      <c r="E21" s="9">
        <v>0</v>
      </c>
      <c r="F21" s="12" t="s">
        <v>129</v>
      </c>
      <c r="G21" s="12"/>
      <c r="H21" s="12"/>
      <c r="I21" s="1"/>
      <c r="J21" s="1"/>
    </row>
    <row r="22" spans="1:10" ht="18" customHeight="1" x14ac:dyDescent="0.3">
      <c r="A22" s="22" t="s">
        <v>135</v>
      </c>
      <c r="B22" s="12"/>
      <c r="C22" s="12"/>
      <c r="D22" s="12" t="s">
        <v>116</v>
      </c>
      <c r="E22" s="9">
        <v>0</v>
      </c>
      <c r="F22" s="12" t="s">
        <v>129</v>
      </c>
      <c r="G22" s="12"/>
      <c r="H22" s="12"/>
      <c r="I22" s="1"/>
      <c r="J22" s="1"/>
    </row>
    <row r="23" spans="1:10" ht="18" customHeight="1" x14ac:dyDescent="0.3">
      <c r="A23" s="22" t="s">
        <v>136</v>
      </c>
      <c r="B23" s="12"/>
      <c r="C23" s="12"/>
      <c r="D23" s="12" t="s">
        <v>116</v>
      </c>
      <c r="E23" s="9">
        <v>0</v>
      </c>
      <c r="F23" s="12" t="s">
        <v>129</v>
      </c>
      <c r="G23" s="12"/>
      <c r="H23" s="12"/>
      <c r="I23" s="1"/>
      <c r="J23" s="1"/>
    </row>
    <row r="24" spans="1:10" ht="18" customHeight="1" x14ac:dyDescent="0.3">
      <c r="A24" s="22" t="s">
        <v>137</v>
      </c>
      <c r="B24" s="12"/>
      <c r="C24" s="12"/>
      <c r="D24" s="12" t="s">
        <v>116</v>
      </c>
      <c r="E24" s="9">
        <v>0</v>
      </c>
      <c r="F24" s="12" t="s">
        <v>129</v>
      </c>
      <c r="G24" s="12"/>
      <c r="H24" s="12"/>
      <c r="I24" s="1"/>
      <c r="J24" s="1"/>
    </row>
    <row r="25" spans="1:10" ht="18" customHeight="1" x14ac:dyDescent="0.3">
      <c r="A25" s="22" t="s">
        <v>138</v>
      </c>
      <c r="B25" s="12"/>
      <c r="C25" s="12"/>
      <c r="D25" s="12" t="s">
        <v>116</v>
      </c>
      <c r="E25" s="9">
        <v>0</v>
      </c>
      <c r="F25" s="12" t="s">
        <v>129</v>
      </c>
      <c r="G25" s="12"/>
      <c r="H25" s="12"/>
      <c r="I25" s="1"/>
      <c r="J25" s="1"/>
    </row>
    <row r="26" spans="1:10" ht="18" customHeight="1" x14ac:dyDescent="0.3">
      <c r="A26" s="2"/>
      <c r="B26" s="1"/>
      <c r="C26" s="1"/>
      <c r="D26" s="1"/>
      <c r="E26" s="1"/>
      <c r="F26" s="1"/>
      <c r="G26" s="1"/>
      <c r="H26" s="1"/>
      <c r="I26" s="1"/>
      <c r="J26" s="1"/>
    </row>
    <row r="27" spans="1:10" ht="18" customHeight="1" x14ac:dyDescent="0.3">
      <c r="A27" s="2"/>
      <c r="B27" s="1"/>
      <c r="C27" s="1"/>
      <c r="D27" s="1"/>
      <c r="E27" s="1"/>
      <c r="F27" s="1"/>
      <c r="G27" s="1"/>
      <c r="H27" s="1"/>
      <c r="I27" s="1"/>
      <c r="J27" s="1"/>
    </row>
    <row r="28" spans="1:10" ht="18" customHeight="1" x14ac:dyDescent="0.3">
      <c r="A28" s="58" t="s">
        <v>139</v>
      </c>
      <c r="B28" s="57"/>
      <c r="C28" s="57"/>
      <c r="D28" s="57"/>
      <c r="E28" s="57"/>
      <c r="F28" s="57"/>
      <c r="G28" s="57"/>
      <c r="H28" s="57"/>
      <c r="I28" s="57"/>
      <c r="J28" s="57"/>
    </row>
    <row r="29" spans="1:10" ht="18" customHeight="1" x14ac:dyDescent="0.3">
      <c r="A29" s="2" t="s">
        <v>140</v>
      </c>
      <c r="B29" s="17" t="str">
        <f>IFERROR(AVERAGEIF(E16:E25,"&gt;0",E16:E25),"N/A")</f>
        <v>N/A</v>
      </c>
      <c r="C29" s="1"/>
      <c r="D29" s="1"/>
      <c r="E29" s="1"/>
      <c r="F29" s="1"/>
      <c r="G29" s="1"/>
      <c r="H29" s="1"/>
      <c r="I29" s="1"/>
      <c r="J29" s="1"/>
    </row>
    <row r="30" spans="1:10" ht="18" customHeight="1" x14ac:dyDescent="0.3">
      <c r="A30" s="2" t="s">
        <v>141</v>
      </c>
      <c r="B30" s="17">
        <f>E11</f>
        <v>205.84158415841586</v>
      </c>
      <c r="C30" s="1"/>
      <c r="D30" s="1"/>
      <c r="E30" s="1"/>
      <c r="F30" s="1"/>
      <c r="G30" s="1"/>
      <c r="H30" s="1"/>
      <c r="I30" s="1"/>
      <c r="J30" s="1"/>
    </row>
    <row r="31" spans="1:10" ht="18" customHeight="1" x14ac:dyDescent="0.3">
      <c r="A31" s="2" t="s">
        <v>142</v>
      </c>
      <c r="B31" s="16">
        <f>IFERROR(B30/B29-1,0)</f>
        <v>0</v>
      </c>
      <c r="C31" s="1"/>
      <c r="D31" s="1"/>
      <c r="E31" s="1"/>
      <c r="F31" s="1"/>
      <c r="G31" s="1"/>
      <c r="H31" s="1"/>
      <c r="I31" s="1"/>
      <c r="J31" s="1"/>
    </row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4">
    <mergeCell ref="A1:J1"/>
    <mergeCell ref="A28:J28"/>
    <mergeCell ref="A14:J14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9"/>
  <sheetViews>
    <sheetView showGridLines="0" workbookViewId="0"/>
  </sheetViews>
  <sheetFormatPr defaultRowHeight="14.4" x14ac:dyDescent="0.3"/>
  <cols>
    <col min="1" max="1" width="34" customWidth="1"/>
    <col min="2" max="29" width="15" customWidth="1"/>
  </cols>
  <sheetData>
    <row r="1" spans="1:14" ht="18" customHeight="1" x14ac:dyDescent="0.35">
      <c r="A1" s="56" t="s">
        <v>143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 x14ac:dyDescent="0.3">
      <c r="A3" s="14" t="s">
        <v>144</v>
      </c>
      <c r="B3" s="15" t="s">
        <v>145</v>
      </c>
      <c r="C3" s="15" t="s">
        <v>146</v>
      </c>
      <c r="D3" s="15" t="s">
        <v>147</v>
      </c>
      <c r="E3" s="15" t="s">
        <v>148</v>
      </c>
      <c r="F3" s="15" t="s">
        <v>149</v>
      </c>
      <c r="G3" s="15" t="s">
        <v>150</v>
      </c>
      <c r="H3" s="15" t="s">
        <v>151</v>
      </c>
      <c r="I3" s="15" t="s">
        <v>152</v>
      </c>
      <c r="J3" s="15" t="s">
        <v>153</v>
      </c>
      <c r="K3" s="15" t="s">
        <v>154</v>
      </c>
      <c r="L3" s="15" t="s">
        <v>155</v>
      </c>
      <c r="M3" s="1"/>
      <c r="N3" s="1"/>
    </row>
    <row r="4" spans="1:14" ht="18" customHeight="1" x14ac:dyDescent="0.3">
      <c r="A4" s="2">
        <v>1</v>
      </c>
      <c r="B4" s="8">
        <f t="shared" ref="B4:B35" si="0">ROUNDUP(A4/12,0)</f>
        <v>1</v>
      </c>
      <c r="C4" s="5">
        <f>Inputs!B13</f>
        <v>0.70699999999999996</v>
      </c>
      <c r="D4" s="5">
        <f>IF(Inputs!$B$16="Linear",MIN(Inputs!$B$14,Inputs!$B$13+(Inputs!$B$14-Inputs!$B$13)*A4/Inputs!$B$15),IF(Inputs!$B$16="S-Curve",Inputs!$B$13+(Inputs!$B$14-Inputs!$B$13)/(1+EXP(-0.25*(A4-Inputs!$B$15/2))),Inputs!$B$13+(Inputs!$B$14-Inputs!$B$13)/(1+EXP(-0.35*(A4-Inputs!$B$15/2)))))</f>
        <v>0.71806356594848164</v>
      </c>
      <c r="E4" s="5">
        <f>MIN(Inputs!$B$14,D4)</f>
        <v>0.71806356594848164</v>
      </c>
      <c r="F4" s="7">
        <f>'Unit Mix &amp; Market Comps'!$B$11*E4</f>
        <v>362.62210080398324</v>
      </c>
      <c r="G4" s="5">
        <f>MAX(0,E4-Inputs!$B$17)</f>
        <v>0.68806356594848161</v>
      </c>
      <c r="H4" s="5">
        <f>Inputs!$B$18/12</f>
        <v>4.1666666666666666E-3</v>
      </c>
      <c r="I4" s="4">
        <f>'Unit Mix &amp; Market Comps'!$E$11*(1+H4)^(A4-1)</f>
        <v>205.84158415841586</v>
      </c>
      <c r="J4" s="4">
        <f>'Unit Mix &amp; Market Comps'!$B$11*I4*G4</f>
        <v>71524.207680344669</v>
      </c>
      <c r="K4" s="4">
        <f>J4*(Inputs!$B$19+Inputs!$B$20)+Inputs!$B$21</f>
        <v>8937.1786912310199</v>
      </c>
      <c r="L4" s="17">
        <f t="shared" ref="L4:L35" si="1">J4+K4</f>
        <v>80461.386371575689</v>
      </c>
      <c r="M4" s="1"/>
      <c r="N4" s="1"/>
    </row>
    <row r="5" spans="1:14" ht="18" customHeight="1" x14ac:dyDescent="0.3">
      <c r="A5" s="2">
        <v>2</v>
      </c>
      <c r="B5" s="8">
        <f t="shared" si="0"/>
        <v>1</v>
      </c>
      <c r="C5" s="16">
        <f t="shared" ref="C5:C36" si="2">E4</f>
        <v>0.71806356594848164</v>
      </c>
      <c r="D5" s="5">
        <f>IF(Inputs!$B$16="Linear",MIN(Inputs!$B$14,Inputs!$B$13+(Inputs!$B$14-Inputs!$B$13)*A5/Inputs!$B$15),IF(Inputs!$B$16="S-Curve",Inputs!$B$13+(Inputs!$B$14-Inputs!$B$13)/(1+EXP(-0.25*(A5-Inputs!$B$15/2))),Inputs!$B$13+(Inputs!$B$14-Inputs!$B$13)/(1+EXP(-0.35*(A5-Inputs!$B$15/2)))))</f>
        <v>0.72233163999250782</v>
      </c>
      <c r="E5" s="5">
        <f>MIN(Inputs!$B$14,D5)</f>
        <v>0.72233163999250782</v>
      </c>
      <c r="F5" s="7">
        <f>'Unit Mix &amp; Market Comps'!$B$11*E5</f>
        <v>364.77747819621646</v>
      </c>
      <c r="G5" s="5">
        <f>MAX(0,E5-Inputs!$B$17)</f>
        <v>0.6923316399925078</v>
      </c>
      <c r="H5" s="5">
        <f>Inputs!$B$18/12</f>
        <v>4.1666666666666666E-3</v>
      </c>
      <c r="I5" s="4">
        <f>'Unit Mix &amp; Market Comps'!$E$11*(1+H5)^(A5-1)</f>
        <v>206.69925742574259</v>
      </c>
      <c r="J5" s="4">
        <f>'Unit Mix &amp; Market Comps'!$B$11*I5*G5</f>
        <v>72267.740118792935</v>
      </c>
      <c r="K5" s="4">
        <f>J5*(Inputs!$B$19+Inputs!$B$20)+Inputs!$B$21</f>
        <v>9004.0966106913638</v>
      </c>
      <c r="L5" s="17">
        <f t="shared" si="1"/>
        <v>81271.836729484305</v>
      </c>
      <c r="M5" s="1"/>
      <c r="N5" s="1"/>
    </row>
    <row r="6" spans="1:14" ht="18" customHeight="1" x14ac:dyDescent="0.3">
      <c r="A6" s="2">
        <v>3</v>
      </c>
      <c r="B6" s="8">
        <f t="shared" si="0"/>
        <v>1</v>
      </c>
      <c r="C6" s="16">
        <f t="shared" si="2"/>
        <v>0.72233163999250782</v>
      </c>
      <c r="D6" s="5">
        <f>IF(Inputs!$B$16="Linear",MIN(Inputs!$B$14,Inputs!$B$13+(Inputs!$B$14-Inputs!$B$13)*A6/Inputs!$B$15),IF(Inputs!$B$16="S-Curve",Inputs!$B$13+(Inputs!$B$14-Inputs!$B$13)/(1+EXP(-0.25*(A6-Inputs!$B$15/2))),Inputs!$B$13+(Inputs!$B$14-Inputs!$B$13)/(1+EXP(-0.35*(A6-Inputs!$B$15/2)))))</f>
        <v>0.72805568649075325</v>
      </c>
      <c r="E6" s="5">
        <f>MIN(Inputs!$B$14,D6)</f>
        <v>0.72805568649075325</v>
      </c>
      <c r="F6" s="7">
        <f>'Unit Mix &amp; Market Comps'!$B$11*E6</f>
        <v>367.66812167783041</v>
      </c>
      <c r="G6" s="5">
        <f>MAX(0,E6-Inputs!$B$17)</f>
        <v>0.69805568649075322</v>
      </c>
      <c r="H6" s="5">
        <f>Inputs!$B$18/12</f>
        <v>4.1666666666666666E-3</v>
      </c>
      <c r="I6" s="4">
        <f>'Unit Mix &amp; Market Comps'!$E$11*(1+H6)^(A6-1)</f>
        <v>207.56050433168318</v>
      </c>
      <c r="J6" s="4">
        <f>'Unit Mix &amp; Market Comps'!$B$11*I6*G6</f>
        <v>73168.839121508121</v>
      </c>
      <c r="K6" s="4">
        <f>J6*(Inputs!$B$19+Inputs!$B$20)+Inputs!$B$21</f>
        <v>9085.1955209357293</v>
      </c>
      <c r="L6" s="17">
        <f t="shared" si="1"/>
        <v>82254.034642443847</v>
      </c>
      <c r="M6" s="1"/>
      <c r="N6" s="1"/>
    </row>
    <row r="7" spans="1:14" ht="18" customHeight="1" x14ac:dyDescent="0.3">
      <c r="A7" s="2">
        <v>4</v>
      </c>
      <c r="B7" s="8">
        <f t="shared" si="0"/>
        <v>1</v>
      </c>
      <c r="C7" s="16">
        <f t="shared" si="2"/>
        <v>0.72805568649075325</v>
      </c>
      <c r="D7" s="5">
        <f>IF(Inputs!$B$16="Linear",MIN(Inputs!$B$14,Inputs!$B$13+(Inputs!$B$14-Inputs!$B$13)*A7/Inputs!$B$15),IF(Inputs!$B$16="S-Curve",Inputs!$B$13+(Inputs!$B$14-Inputs!$B$13)/(1+EXP(-0.25*(A7-Inputs!$B$15/2))),Inputs!$B$13+(Inputs!$B$14-Inputs!$B$13)/(1+EXP(-0.35*(A7-Inputs!$B$15/2)))))</f>
        <v>0.73557310922011598</v>
      </c>
      <c r="E7" s="5">
        <f>MIN(Inputs!$B$14,D7)</f>
        <v>0.73557310922011598</v>
      </c>
      <c r="F7" s="7">
        <f>'Unit Mix &amp; Market Comps'!$B$11*E7</f>
        <v>371.46442015615855</v>
      </c>
      <c r="G7" s="5">
        <f>MAX(0,E7-Inputs!$B$17)</f>
        <v>0.70557310922011596</v>
      </c>
      <c r="H7" s="5">
        <f>Inputs!$B$18/12</f>
        <v>4.1666666666666666E-3</v>
      </c>
      <c r="I7" s="4">
        <f>'Unit Mix &amp; Market Comps'!$E$11*(1+H7)^(A7-1)</f>
        <v>208.42533976639857</v>
      </c>
      <c r="J7" s="4">
        <f>'Unit Mix &amp; Market Comps'!$B$11*I7*G7</f>
        <v>74264.954084714642</v>
      </c>
      <c r="K7" s="4">
        <f>J7*(Inputs!$B$19+Inputs!$B$20)+Inputs!$B$21</f>
        <v>9183.8458676243172</v>
      </c>
      <c r="L7" s="17">
        <f t="shared" si="1"/>
        <v>83448.799952338959</v>
      </c>
      <c r="M7" s="1"/>
      <c r="N7" s="1"/>
    </row>
    <row r="8" spans="1:14" ht="18" customHeight="1" x14ac:dyDescent="0.3">
      <c r="A8" s="2">
        <v>5</v>
      </c>
      <c r="B8" s="8">
        <f t="shared" si="0"/>
        <v>1</v>
      </c>
      <c r="C8" s="16">
        <f t="shared" si="2"/>
        <v>0.73557310922011598</v>
      </c>
      <c r="D8" s="5">
        <f>IF(Inputs!$B$16="Linear",MIN(Inputs!$B$14,Inputs!$B$13+(Inputs!$B$14-Inputs!$B$13)*A8/Inputs!$B$15),IF(Inputs!$B$16="S-Curve",Inputs!$B$13+(Inputs!$B$14-Inputs!$B$13)/(1+EXP(-0.25*(A8-Inputs!$B$15/2))),Inputs!$B$13+(Inputs!$B$14-Inputs!$B$13)/(1+EXP(-0.35*(A8-Inputs!$B$15/2)))))</f>
        <v>0.74517850950819375</v>
      </c>
      <c r="E8" s="5">
        <f>MIN(Inputs!$B$14,D8)</f>
        <v>0.74517850950819375</v>
      </c>
      <c r="F8" s="7">
        <f>'Unit Mix &amp; Market Comps'!$B$11*E8</f>
        <v>376.31514730163786</v>
      </c>
      <c r="G8" s="5">
        <f>MAX(0,E8-Inputs!$B$17)</f>
        <v>0.71517850950819373</v>
      </c>
      <c r="H8" s="5">
        <f>Inputs!$B$18/12</f>
        <v>4.1666666666666666E-3</v>
      </c>
      <c r="I8" s="4">
        <f>'Unit Mix &amp; Market Comps'!$E$11*(1+H8)^(A8-1)</f>
        <v>209.29377868209187</v>
      </c>
      <c r="J8" s="4">
        <f>'Unit Mix &amp; Market Comps'!$B$11*I8*G8</f>
        <v>75589.618407034097</v>
      </c>
      <c r="K8" s="4">
        <f>J8*(Inputs!$B$19+Inputs!$B$20)+Inputs!$B$21</f>
        <v>9303.065656633069</v>
      </c>
      <c r="L8" s="17">
        <f t="shared" si="1"/>
        <v>84892.68406366717</v>
      </c>
      <c r="M8" s="1"/>
      <c r="N8" s="1"/>
    </row>
    <row r="9" spans="1:14" ht="18" customHeight="1" x14ac:dyDescent="0.3">
      <c r="A9" s="2">
        <v>6</v>
      </c>
      <c r="B9" s="8">
        <f t="shared" si="0"/>
        <v>1</v>
      </c>
      <c r="C9" s="16">
        <f t="shared" si="2"/>
        <v>0.74517850950819375</v>
      </c>
      <c r="D9" s="5">
        <f>IF(Inputs!$B$16="Linear",MIN(Inputs!$B$14,Inputs!$B$13+(Inputs!$B$14-Inputs!$B$13)*A9/Inputs!$B$15),IF(Inputs!$B$16="S-Curve",Inputs!$B$13+(Inputs!$B$14-Inputs!$B$13)/(1+EXP(-0.25*(A9-Inputs!$B$15/2))),Inputs!$B$13+(Inputs!$B$14-Inputs!$B$13)/(1+EXP(-0.35*(A9-Inputs!$B$15/2)))))</f>
        <v>0.75703044445784429</v>
      </c>
      <c r="E9" s="5">
        <f>MIN(Inputs!$B$14,D9)</f>
        <v>0.75703044445784429</v>
      </c>
      <c r="F9" s="7">
        <f>'Unit Mix &amp; Market Comps'!$B$11*E9</f>
        <v>382.30037445121138</v>
      </c>
      <c r="G9" s="5">
        <f>MAX(0,E9-Inputs!$B$17)</f>
        <v>0.72703044445784426</v>
      </c>
      <c r="H9" s="5">
        <f>Inputs!$B$18/12</f>
        <v>4.1666666666666666E-3</v>
      </c>
      <c r="I9" s="4">
        <f>'Unit Mix &amp; Market Comps'!$E$11*(1+H9)^(A9-1)</f>
        <v>210.16583609326725</v>
      </c>
      <c r="J9" s="4">
        <f>'Unit Mix &amp; Market Comps'!$B$11*I9*G9</f>
        <v>77162.465418494976</v>
      </c>
      <c r="K9" s="4">
        <f>J9*(Inputs!$B$19+Inputs!$B$20)+Inputs!$B$21</f>
        <v>9444.6218876645471</v>
      </c>
      <c r="L9" s="17">
        <f t="shared" si="1"/>
        <v>86607.087306159519</v>
      </c>
      <c r="M9" s="1"/>
      <c r="N9" s="1"/>
    </row>
    <row r="10" spans="1:14" ht="18" customHeight="1" x14ac:dyDescent="0.3">
      <c r="A10" s="2">
        <v>7</v>
      </c>
      <c r="B10" s="8">
        <f t="shared" si="0"/>
        <v>1</v>
      </c>
      <c r="C10" s="16">
        <f t="shared" si="2"/>
        <v>0.75703044445784429</v>
      </c>
      <c r="D10" s="5">
        <f>IF(Inputs!$B$16="Linear",MIN(Inputs!$B$14,Inputs!$B$13+(Inputs!$B$14-Inputs!$B$13)*A10/Inputs!$B$15),IF(Inputs!$B$16="S-Curve",Inputs!$B$13+(Inputs!$B$14-Inputs!$B$13)/(1+EXP(-0.25*(A10-Inputs!$B$15/2))),Inputs!$B$13+(Inputs!$B$14-Inputs!$B$13)/(1+EXP(-0.35*(A10-Inputs!$B$15/2)))))</f>
        <v>0.77103975997154395</v>
      </c>
      <c r="E10" s="5">
        <f>MIN(Inputs!$B$14,D10)</f>
        <v>0.77103975997154395</v>
      </c>
      <c r="F10" s="7">
        <f>'Unit Mix &amp; Market Comps'!$B$11*E10</f>
        <v>389.37507878562968</v>
      </c>
      <c r="G10" s="5">
        <f>MAX(0,E10-Inputs!$B$17)</f>
        <v>0.74103975997154392</v>
      </c>
      <c r="H10" s="5">
        <f>Inputs!$B$18/12</f>
        <v>4.1666666666666666E-3</v>
      </c>
      <c r="I10" s="4">
        <f>'Unit Mix &amp; Market Comps'!$E$11*(1+H10)^(A10-1)</f>
        <v>211.04152707698918</v>
      </c>
      <c r="J10" s="4">
        <f>'Unit Mix &amp; Market Comps'!$B$11*I10*G10</f>
        <v>78977.032097425865</v>
      </c>
      <c r="K10" s="4">
        <f>J10*(Inputs!$B$19+Inputs!$B$20)+Inputs!$B$21</f>
        <v>9607.9328887683278</v>
      </c>
      <c r="L10" s="17">
        <f t="shared" si="1"/>
        <v>88584.964986194187</v>
      </c>
      <c r="M10" s="1"/>
      <c r="N10" s="1"/>
    </row>
    <row r="11" spans="1:14" ht="18" customHeight="1" x14ac:dyDescent="0.3">
      <c r="A11" s="2">
        <v>8</v>
      </c>
      <c r="B11" s="8">
        <f t="shared" si="0"/>
        <v>1</v>
      </c>
      <c r="C11" s="16">
        <f t="shared" si="2"/>
        <v>0.77103975997154395</v>
      </c>
      <c r="D11" s="5">
        <f>IF(Inputs!$B$16="Linear",MIN(Inputs!$B$14,Inputs!$B$13+(Inputs!$B$14-Inputs!$B$13)*A11/Inputs!$B$15),IF(Inputs!$B$16="S-Curve",Inputs!$B$13+(Inputs!$B$14-Inputs!$B$13)/(1+EXP(-0.25*(A11-Inputs!$B$15/2))),Inputs!$B$13+(Inputs!$B$14-Inputs!$B$13)/(1+EXP(-0.35*(A11-Inputs!$B$15/2)))))</f>
        <v>0.78678280726895533</v>
      </c>
      <c r="E11" s="5">
        <f>MIN(Inputs!$B$14,D11)</f>
        <v>0.78678280726895533</v>
      </c>
      <c r="F11" s="7">
        <f>'Unit Mix &amp; Market Comps'!$B$11*E11</f>
        <v>397.32531767082241</v>
      </c>
      <c r="G11" s="5">
        <f>MAX(0,E11-Inputs!$B$17)</f>
        <v>0.7567828072689553</v>
      </c>
      <c r="H11" s="5">
        <f>Inputs!$B$18/12</f>
        <v>4.1666666666666666E-3</v>
      </c>
      <c r="I11" s="4">
        <f>'Unit Mix &amp; Market Comps'!$E$11*(1+H11)^(A11-1)</f>
        <v>211.92086677314336</v>
      </c>
      <c r="J11" s="4">
        <f>'Unit Mix &amp; Market Comps'!$B$11*I11*G11</f>
        <v>80990.924580102102</v>
      </c>
      <c r="K11" s="4">
        <f>J11*(Inputs!$B$19+Inputs!$B$20)+Inputs!$B$21</f>
        <v>9789.1832122091892</v>
      </c>
      <c r="L11" s="17">
        <f t="shared" si="1"/>
        <v>90780.10779231129</v>
      </c>
      <c r="M11" s="1"/>
      <c r="N11" s="1"/>
    </row>
    <row r="12" spans="1:14" ht="18" customHeight="1" x14ac:dyDescent="0.3">
      <c r="A12" s="2">
        <v>9</v>
      </c>
      <c r="B12" s="8">
        <f t="shared" si="0"/>
        <v>1</v>
      </c>
      <c r="C12" s="16">
        <f t="shared" si="2"/>
        <v>0.78678280726895533</v>
      </c>
      <c r="D12" s="5">
        <f>IF(Inputs!$B$16="Linear",MIN(Inputs!$B$14,Inputs!$B$13+(Inputs!$B$14-Inputs!$B$13)*A12/Inputs!$B$15),IF(Inputs!$B$16="S-Curve",Inputs!$B$13+(Inputs!$B$14-Inputs!$B$13)/(1+EXP(-0.25*(A12-Inputs!$B$15/2))),Inputs!$B$13+(Inputs!$B$14-Inputs!$B$13)/(1+EXP(-0.35*(A12-Inputs!$B$15/2)))))</f>
        <v>0.80349999999999999</v>
      </c>
      <c r="E12" s="5">
        <f>MIN(Inputs!$B$14,D12)</f>
        <v>0.80349999999999999</v>
      </c>
      <c r="F12" s="7">
        <f>'Unit Mix &amp; Market Comps'!$B$11*E12</f>
        <v>405.76749999999998</v>
      </c>
      <c r="G12" s="5">
        <f>MAX(0,E12-Inputs!$B$17)</f>
        <v>0.77349999999999997</v>
      </c>
      <c r="H12" s="5">
        <f>Inputs!$B$18/12</f>
        <v>4.1666666666666666E-3</v>
      </c>
      <c r="I12" s="4">
        <f>'Unit Mix &amp; Market Comps'!$E$11*(1+H12)^(A12-1)</f>
        <v>212.80387038469809</v>
      </c>
      <c r="J12" s="4">
        <f>'Unit Mix &amp; Market Comps'!$B$11*I12*G12</f>
        <v>83124.915839994806</v>
      </c>
      <c r="K12" s="4">
        <f>J12*(Inputs!$B$19+Inputs!$B$20)+Inputs!$B$21</f>
        <v>9981.242425599532</v>
      </c>
      <c r="L12" s="17">
        <f t="shared" si="1"/>
        <v>93106.158265594335</v>
      </c>
      <c r="M12" s="1"/>
      <c r="N12" s="1"/>
    </row>
    <row r="13" spans="1:14" ht="18" customHeight="1" x14ac:dyDescent="0.3">
      <c r="A13" s="2">
        <v>10</v>
      </c>
      <c r="B13" s="8">
        <f t="shared" si="0"/>
        <v>1</v>
      </c>
      <c r="C13" s="16">
        <f t="shared" si="2"/>
        <v>0.80349999999999999</v>
      </c>
      <c r="D13" s="5">
        <f>IF(Inputs!$B$16="Linear",MIN(Inputs!$B$14,Inputs!$B$13+(Inputs!$B$14-Inputs!$B$13)*A13/Inputs!$B$15),IF(Inputs!$B$16="S-Curve",Inputs!$B$13+(Inputs!$B$14-Inputs!$B$13)/(1+EXP(-0.25*(A13-Inputs!$B$15/2))),Inputs!$B$13+(Inputs!$B$14-Inputs!$B$13)/(1+EXP(-0.35*(A13-Inputs!$B$15/2)))))</f>
        <v>0.82021719273104465</v>
      </c>
      <c r="E13" s="5">
        <f>MIN(Inputs!$B$14,D13)</f>
        <v>0.82021719273104465</v>
      </c>
      <c r="F13" s="7">
        <f>'Unit Mix &amp; Market Comps'!$B$11*E13</f>
        <v>414.20968232917755</v>
      </c>
      <c r="G13" s="5">
        <f>MAX(0,E13-Inputs!$B$17)</f>
        <v>0.79021719273104463</v>
      </c>
      <c r="H13" s="5">
        <f>Inputs!$B$18/12</f>
        <v>4.1666666666666666E-3</v>
      </c>
      <c r="I13" s="4">
        <f>'Unit Mix &amp; Market Comps'!$E$11*(1+H13)^(A13-1)</f>
        <v>213.69055317796767</v>
      </c>
      <c r="J13" s="4">
        <f>'Unit Mix &amp; Market Comps'!$B$11*I13*G13</f>
        <v>85275.284267946001</v>
      </c>
      <c r="K13" s="4">
        <f>J13*(Inputs!$B$19+Inputs!$B$20)+Inputs!$B$21</f>
        <v>10174.775584115141</v>
      </c>
      <c r="L13" s="17">
        <f t="shared" si="1"/>
        <v>95450.059852061138</v>
      </c>
      <c r="M13" s="1"/>
      <c r="N13" s="1"/>
    </row>
    <row r="14" spans="1:14" ht="18" customHeight="1" x14ac:dyDescent="0.3">
      <c r="A14" s="2">
        <v>11</v>
      </c>
      <c r="B14" s="8">
        <f t="shared" si="0"/>
        <v>1</v>
      </c>
      <c r="C14" s="16">
        <f t="shared" si="2"/>
        <v>0.82021719273104465</v>
      </c>
      <c r="D14" s="5">
        <f>IF(Inputs!$B$16="Linear",MIN(Inputs!$B$14,Inputs!$B$13+(Inputs!$B$14-Inputs!$B$13)*A14/Inputs!$B$15),IF(Inputs!$B$16="S-Curve",Inputs!$B$13+(Inputs!$B$14-Inputs!$B$13)/(1+EXP(-0.25*(A14-Inputs!$B$15/2))),Inputs!$B$13+(Inputs!$B$14-Inputs!$B$13)/(1+EXP(-0.35*(A14-Inputs!$B$15/2)))))</f>
        <v>0.83596024002845604</v>
      </c>
      <c r="E14" s="5">
        <f>MIN(Inputs!$B$14,D14)</f>
        <v>0.83596024002845604</v>
      </c>
      <c r="F14" s="7">
        <f>'Unit Mix &amp; Market Comps'!$B$11*E14</f>
        <v>422.15992121437029</v>
      </c>
      <c r="G14" s="5">
        <f>MAX(0,E14-Inputs!$B$17)</f>
        <v>0.80596024002845601</v>
      </c>
      <c r="H14" s="5">
        <f>Inputs!$B$18/12</f>
        <v>4.1666666666666666E-3</v>
      </c>
      <c r="I14" s="4">
        <f>'Unit Mix &amp; Market Comps'!$E$11*(1+H14)^(A14-1)</f>
        <v>214.58093048287589</v>
      </c>
      <c r="J14" s="4">
        <f>'Unit Mix &amp; Market Comps'!$B$11*I14*G14</f>
        <v>87336.567609941572</v>
      </c>
      <c r="K14" s="4">
        <f>J14*(Inputs!$B$19+Inputs!$B$20)+Inputs!$B$21</f>
        <v>10360.291084894741</v>
      </c>
      <c r="L14" s="17">
        <f t="shared" si="1"/>
        <v>97696.858694836308</v>
      </c>
      <c r="M14" s="1"/>
      <c r="N14" s="1"/>
    </row>
    <row r="15" spans="1:14" ht="18" customHeight="1" x14ac:dyDescent="0.3">
      <c r="A15" s="2">
        <v>12</v>
      </c>
      <c r="B15" s="8">
        <f t="shared" si="0"/>
        <v>1</v>
      </c>
      <c r="C15" s="16">
        <f t="shared" si="2"/>
        <v>0.83596024002845604</v>
      </c>
      <c r="D15" s="5">
        <f>IF(Inputs!$B$16="Linear",MIN(Inputs!$B$14,Inputs!$B$13+(Inputs!$B$14-Inputs!$B$13)*A15/Inputs!$B$15),IF(Inputs!$B$16="S-Curve",Inputs!$B$13+(Inputs!$B$14-Inputs!$B$13)/(1+EXP(-0.25*(A15-Inputs!$B$15/2))),Inputs!$B$13+(Inputs!$B$14-Inputs!$B$13)/(1+EXP(-0.35*(A15-Inputs!$B$15/2)))))</f>
        <v>0.8499695555421557</v>
      </c>
      <c r="E15" s="5">
        <f>MIN(Inputs!$B$14,D15)</f>
        <v>0.8499695555421557</v>
      </c>
      <c r="F15" s="7">
        <f>'Unit Mix &amp; Market Comps'!$B$11*E15</f>
        <v>429.23462554878864</v>
      </c>
      <c r="G15" s="5">
        <f>MAX(0,E15-Inputs!$B$17)</f>
        <v>0.81996955554215567</v>
      </c>
      <c r="H15" s="5">
        <f>Inputs!$B$18/12</f>
        <v>4.1666666666666666E-3</v>
      </c>
      <c r="I15" s="4">
        <f>'Unit Mix &amp; Market Comps'!$E$11*(1+H15)^(A15-1)</f>
        <v>215.47501769322119</v>
      </c>
      <c r="J15" s="4">
        <f>'Unit Mix &amp; Market Comps'!$B$11*I15*G15</f>
        <v>89224.892016616097</v>
      </c>
      <c r="K15" s="4">
        <f>J15*(Inputs!$B$19+Inputs!$B$20)+Inputs!$B$21</f>
        <v>10530.240281495448</v>
      </c>
      <c r="L15" s="17">
        <f t="shared" si="1"/>
        <v>99755.132298111537</v>
      </c>
      <c r="M15" s="1"/>
      <c r="N15" s="1"/>
    </row>
    <row r="16" spans="1:14" ht="18" customHeight="1" x14ac:dyDescent="0.3">
      <c r="A16" s="2">
        <v>13</v>
      </c>
      <c r="B16" s="8">
        <f t="shared" si="0"/>
        <v>2</v>
      </c>
      <c r="C16" s="16">
        <f t="shared" si="2"/>
        <v>0.8499695555421557</v>
      </c>
      <c r="D16" s="5">
        <f>IF(Inputs!$B$16="Linear",MIN(Inputs!$B$14,Inputs!$B$13+(Inputs!$B$14-Inputs!$B$13)*A16/Inputs!$B$15),IF(Inputs!$B$16="S-Curve",Inputs!$B$13+(Inputs!$B$14-Inputs!$B$13)/(1+EXP(-0.25*(A16-Inputs!$B$15/2))),Inputs!$B$13+(Inputs!$B$14-Inputs!$B$13)/(1+EXP(-0.35*(A16-Inputs!$B$15/2)))))</f>
        <v>0.86182149049180623</v>
      </c>
      <c r="E16" s="5">
        <f>MIN(Inputs!$B$14,D16)</f>
        <v>0.86182149049180623</v>
      </c>
      <c r="F16" s="7">
        <f>'Unit Mix &amp; Market Comps'!$B$11*E16</f>
        <v>435.21985269836216</v>
      </c>
      <c r="G16" s="5">
        <f>MAX(0,E16-Inputs!$B$17)</f>
        <v>0.8318214904918062</v>
      </c>
      <c r="H16" s="5">
        <f>Inputs!$B$18/12</f>
        <v>4.1666666666666666E-3</v>
      </c>
      <c r="I16" s="4">
        <f>'Unit Mix &amp; Market Comps'!$E$11*(1+H16)^(A16-1)</f>
        <v>216.37283026694297</v>
      </c>
      <c r="J16" s="4">
        <f>'Unit Mix &amp; Market Comps'!$B$11*I16*G16</f>
        <v>90891.702938162445</v>
      </c>
      <c r="K16" s="4">
        <f>J16*(Inputs!$B$19+Inputs!$B$20)+Inputs!$B$21</f>
        <v>10680.253264434621</v>
      </c>
      <c r="L16" s="17">
        <f t="shared" si="1"/>
        <v>101571.95620259707</v>
      </c>
      <c r="M16" s="1"/>
      <c r="N16" s="1"/>
    </row>
    <row r="17" spans="1:14" ht="18" customHeight="1" x14ac:dyDescent="0.3">
      <c r="A17" s="2">
        <v>14</v>
      </c>
      <c r="B17" s="8">
        <f t="shared" si="0"/>
        <v>2</v>
      </c>
      <c r="C17" s="16">
        <f t="shared" si="2"/>
        <v>0.86182149049180623</v>
      </c>
      <c r="D17" s="5">
        <f>IF(Inputs!$B$16="Linear",MIN(Inputs!$B$14,Inputs!$B$13+(Inputs!$B$14-Inputs!$B$13)*A17/Inputs!$B$15),IF(Inputs!$B$16="S-Curve",Inputs!$B$13+(Inputs!$B$14-Inputs!$B$13)/(1+EXP(-0.25*(A17-Inputs!$B$15/2))),Inputs!$B$13+(Inputs!$B$14-Inputs!$B$13)/(1+EXP(-0.35*(A17-Inputs!$B$15/2)))))</f>
        <v>0.87142689077988389</v>
      </c>
      <c r="E17" s="5">
        <f>MIN(Inputs!$B$14,D17)</f>
        <v>0.87142689077988389</v>
      </c>
      <c r="F17" s="7">
        <f>'Unit Mix &amp; Market Comps'!$B$11*E17</f>
        <v>440.07057984384136</v>
      </c>
      <c r="G17" s="5">
        <f>MAX(0,E17-Inputs!$B$17)</f>
        <v>0.84142689077988386</v>
      </c>
      <c r="H17" s="5">
        <f>Inputs!$B$18/12</f>
        <v>4.1666666666666666E-3</v>
      </c>
      <c r="I17" s="4">
        <f>'Unit Mix &amp; Market Comps'!$E$11*(1+H17)^(A17-1)</f>
        <v>217.27438372638852</v>
      </c>
      <c r="J17" s="4">
        <f>'Unit Mix &amp; Market Comps'!$B$11*I17*G17</f>
        <v>92324.357118230299</v>
      </c>
      <c r="K17" s="4">
        <f>J17*(Inputs!$B$19+Inputs!$B$20)+Inputs!$B$21</f>
        <v>10809.192140640727</v>
      </c>
      <c r="L17" s="17">
        <f t="shared" si="1"/>
        <v>103133.54925887103</v>
      </c>
      <c r="M17" s="1"/>
      <c r="N17" s="1"/>
    </row>
    <row r="18" spans="1:14" ht="18" customHeight="1" x14ac:dyDescent="0.3">
      <c r="A18" s="2">
        <v>15</v>
      </c>
      <c r="B18" s="8">
        <f t="shared" si="0"/>
        <v>2</v>
      </c>
      <c r="C18" s="16">
        <f t="shared" si="2"/>
        <v>0.87142689077988389</v>
      </c>
      <c r="D18" s="5">
        <f>IF(Inputs!$B$16="Linear",MIN(Inputs!$B$14,Inputs!$B$13+(Inputs!$B$14-Inputs!$B$13)*A18/Inputs!$B$15),IF(Inputs!$B$16="S-Curve",Inputs!$B$13+(Inputs!$B$14-Inputs!$B$13)/(1+EXP(-0.25*(A18-Inputs!$B$15/2))),Inputs!$B$13+(Inputs!$B$14-Inputs!$B$13)/(1+EXP(-0.35*(A18-Inputs!$B$15/2)))))</f>
        <v>0.87894431350924673</v>
      </c>
      <c r="E18" s="5">
        <f>MIN(Inputs!$B$14,D18)</f>
        <v>0.87894431350924673</v>
      </c>
      <c r="F18" s="7">
        <f>'Unit Mix &amp; Market Comps'!$B$11*E18</f>
        <v>443.86687832216961</v>
      </c>
      <c r="G18" s="5">
        <f>MAX(0,E18-Inputs!$B$17)</f>
        <v>0.84894431350924671</v>
      </c>
      <c r="H18" s="5">
        <f>Inputs!$B$18/12</f>
        <v>4.1666666666666666E-3</v>
      </c>
      <c r="I18" s="4">
        <f>'Unit Mix &amp; Market Comps'!$E$11*(1+H18)^(A18-1)</f>
        <v>218.17969365858181</v>
      </c>
      <c r="J18" s="4">
        <f>'Unit Mix &amp; Market Comps'!$B$11*I18*G18</f>
        <v>93537.317178594443</v>
      </c>
      <c r="K18" s="4">
        <f>J18*(Inputs!$B$19+Inputs!$B$20)+Inputs!$B$21</f>
        <v>10918.358546073499</v>
      </c>
      <c r="L18" s="17">
        <f t="shared" si="1"/>
        <v>104455.67572466795</v>
      </c>
      <c r="M18" s="1"/>
      <c r="N18" s="1"/>
    </row>
    <row r="19" spans="1:14" ht="18" customHeight="1" x14ac:dyDescent="0.3">
      <c r="A19" s="2">
        <v>16</v>
      </c>
      <c r="B19" s="8">
        <f t="shared" si="0"/>
        <v>2</v>
      </c>
      <c r="C19" s="16">
        <f t="shared" si="2"/>
        <v>0.87894431350924673</v>
      </c>
      <c r="D19" s="5">
        <f>IF(Inputs!$B$16="Linear",MIN(Inputs!$B$14,Inputs!$B$13+(Inputs!$B$14-Inputs!$B$13)*A19/Inputs!$B$15),IF(Inputs!$B$16="S-Curve",Inputs!$B$13+(Inputs!$B$14-Inputs!$B$13)/(1+EXP(-0.25*(A19-Inputs!$B$15/2))),Inputs!$B$13+(Inputs!$B$14-Inputs!$B$13)/(1+EXP(-0.35*(A19-Inputs!$B$15/2)))))</f>
        <v>0.88466836000749216</v>
      </c>
      <c r="E19" s="5">
        <f>MIN(Inputs!$B$14,D19)</f>
        <v>0.88466836000749216</v>
      </c>
      <c r="F19" s="7">
        <f>'Unit Mix &amp; Market Comps'!$B$11*E19</f>
        <v>446.75752180378356</v>
      </c>
      <c r="G19" s="5">
        <f>MAX(0,E19-Inputs!$B$17)</f>
        <v>0.85466836000749213</v>
      </c>
      <c r="H19" s="5">
        <f>Inputs!$B$18/12</f>
        <v>4.1666666666666666E-3</v>
      </c>
      <c r="I19" s="4">
        <f>'Unit Mix &amp; Market Comps'!$E$11*(1+H19)^(A19-1)</f>
        <v>219.08877571549266</v>
      </c>
      <c r="J19" s="4">
        <f>'Unit Mix &amp; Market Comps'!$B$11*I19*G19</f>
        <v>94560.363541588726</v>
      </c>
      <c r="K19" s="4">
        <f>J19*(Inputs!$B$19+Inputs!$B$20)+Inputs!$B$21</f>
        <v>11010.432718742984</v>
      </c>
      <c r="L19" s="17">
        <f t="shared" si="1"/>
        <v>105570.79626033171</v>
      </c>
      <c r="M19" s="1"/>
      <c r="N19" s="1"/>
    </row>
    <row r="20" spans="1:14" ht="18" customHeight="1" x14ac:dyDescent="0.3">
      <c r="A20" s="2">
        <v>17</v>
      </c>
      <c r="B20" s="8">
        <f t="shared" si="0"/>
        <v>2</v>
      </c>
      <c r="C20" s="16">
        <f t="shared" si="2"/>
        <v>0.88466836000749216</v>
      </c>
      <c r="D20" s="5">
        <f>IF(Inputs!$B$16="Linear",MIN(Inputs!$B$14,Inputs!$B$13+(Inputs!$B$14-Inputs!$B$13)*A20/Inputs!$B$15),IF(Inputs!$B$16="S-Curve",Inputs!$B$13+(Inputs!$B$14-Inputs!$B$13)/(1+EXP(-0.25*(A20-Inputs!$B$15/2))),Inputs!$B$13+(Inputs!$B$14-Inputs!$B$13)/(1+EXP(-0.35*(A20-Inputs!$B$15/2)))))</f>
        <v>0.88893643405151834</v>
      </c>
      <c r="E20" s="5">
        <f>MIN(Inputs!$B$14,D20)</f>
        <v>0.88893643405151834</v>
      </c>
      <c r="F20" s="7">
        <f>'Unit Mix &amp; Market Comps'!$B$11*E20</f>
        <v>448.91289919601678</v>
      </c>
      <c r="G20" s="5">
        <f>MAX(0,E20-Inputs!$B$17)</f>
        <v>0.85893643405151832</v>
      </c>
      <c r="H20" s="5">
        <f>Inputs!$B$18/12</f>
        <v>4.1666666666666666E-3</v>
      </c>
      <c r="I20" s="4">
        <f>'Unit Mix &amp; Market Comps'!$E$11*(1+H20)^(A20-1)</f>
        <v>220.00164561430717</v>
      </c>
      <c r="J20" s="4">
        <f>'Unit Mix &amp; Market Comps'!$B$11*I20*G20</f>
        <v>95428.551629556518</v>
      </c>
      <c r="K20" s="4">
        <f>J20*(Inputs!$B$19+Inputs!$B$20)+Inputs!$B$21</f>
        <v>11088.569646660086</v>
      </c>
      <c r="L20" s="17">
        <f t="shared" si="1"/>
        <v>106517.12127621661</v>
      </c>
      <c r="M20" s="1"/>
      <c r="N20" s="1"/>
    </row>
    <row r="21" spans="1:14" ht="18" customHeight="1" x14ac:dyDescent="0.3">
      <c r="A21" s="2">
        <v>18</v>
      </c>
      <c r="B21" s="8">
        <f t="shared" si="0"/>
        <v>2</v>
      </c>
      <c r="C21" s="16">
        <f t="shared" si="2"/>
        <v>0.88893643405151834</v>
      </c>
      <c r="D21" s="5">
        <f>IF(Inputs!$B$16="Linear",MIN(Inputs!$B$14,Inputs!$B$13+(Inputs!$B$14-Inputs!$B$13)*A21/Inputs!$B$15),IF(Inputs!$B$16="S-Curve",Inputs!$B$13+(Inputs!$B$14-Inputs!$B$13)/(1+EXP(-0.25*(A21-Inputs!$B$15/2))),Inputs!$B$13+(Inputs!$B$14-Inputs!$B$13)/(1+EXP(-0.35*(A21-Inputs!$B$15/2)))))</f>
        <v>0.89206938330731034</v>
      </c>
      <c r="E21" s="5">
        <f>MIN(Inputs!$B$14,D21)</f>
        <v>0.89206938330731034</v>
      </c>
      <c r="F21" s="7">
        <f>'Unit Mix &amp; Market Comps'!$B$11*E21</f>
        <v>450.4950385701917</v>
      </c>
      <c r="G21" s="5">
        <f>MAX(0,E21-Inputs!$B$17)</f>
        <v>0.86206938330731031</v>
      </c>
      <c r="H21" s="5">
        <f>Inputs!$B$18/12</f>
        <v>4.1666666666666666E-3</v>
      </c>
      <c r="I21" s="4">
        <f>'Unit Mix &amp; Market Comps'!$E$11*(1+H21)^(A21-1)</f>
        <v>220.91831913770011</v>
      </c>
      <c r="J21" s="4">
        <f>'Unit Mix &amp; Market Comps'!$B$11*I21*G21</f>
        <v>96175.69416586397</v>
      </c>
      <c r="K21" s="4">
        <f>J21*(Inputs!$B$19+Inputs!$B$20)+Inputs!$B$21</f>
        <v>11155.812474927758</v>
      </c>
      <c r="L21" s="17">
        <f t="shared" si="1"/>
        <v>107331.50664079173</v>
      </c>
      <c r="M21" s="1"/>
      <c r="N21" s="1"/>
    </row>
    <row r="22" spans="1:14" ht="18" customHeight="1" x14ac:dyDescent="0.3">
      <c r="A22" s="2">
        <v>19</v>
      </c>
      <c r="B22" s="8">
        <f t="shared" si="0"/>
        <v>2</v>
      </c>
      <c r="C22" s="16">
        <f t="shared" si="2"/>
        <v>0.89206938330731034</v>
      </c>
      <c r="D22" s="5">
        <f>IF(Inputs!$B$16="Linear",MIN(Inputs!$B$14,Inputs!$B$13+(Inputs!$B$14-Inputs!$B$13)*A22/Inputs!$B$15),IF(Inputs!$B$16="S-Curve",Inputs!$B$13+(Inputs!$B$14-Inputs!$B$13)/(1+EXP(-0.25*(A22-Inputs!$B$15/2))),Inputs!$B$13+(Inputs!$B$14-Inputs!$B$13)/(1+EXP(-0.35*(A22-Inputs!$B$15/2)))))</f>
        <v>0.89434273946498821</v>
      </c>
      <c r="E22" s="5">
        <f>MIN(Inputs!$B$14,D22)</f>
        <v>0.89434273946498821</v>
      </c>
      <c r="F22" s="7">
        <f>'Unit Mix &amp; Market Comps'!$B$11*E22</f>
        <v>451.64308342981906</v>
      </c>
      <c r="G22" s="5">
        <f>MAX(0,E22-Inputs!$B$17)</f>
        <v>0.86434273946498819</v>
      </c>
      <c r="H22" s="5">
        <f>Inputs!$B$18/12</f>
        <v>4.1666666666666666E-3</v>
      </c>
      <c r="I22" s="4">
        <f>'Unit Mix &amp; Market Comps'!$E$11*(1+H22)^(A22-1)</f>
        <v>221.83881213410717</v>
      </c>
      <c r="J22" s="4">
        <f>'Unit Mix &amp; Market Comps'!$B$11*I22*G22</f>
        <v>96831.107132824793</v>
      </c>
      <c r="K22" s="4">
        <f>J22*(Inputs!$B$19+Inputs!$B$20)+Inputs!$B$21</f>
        <v>11214.799641954231</v>
      </c>
      <c r="L22" s="17">
        <f t="shared" si="1"/>
        <v>108045.90677477902</v>
      </c>
      <c r="M22" s="1"/>
      <c r="N22" s="1"/>
    </row>
    <row r="23" spans="1:14" ht="18" customHeight="1" x14ac:dyDescent="0.3">
      <c r="A23" s="2">
        <v>20</v>
      </c>
      <c r="B23" s="8">
        <f t="shared" si="0"/>
        <v>2</v>
      </c>
      <c r="C23" s="16">
        <f t="shared" si="2"/>
        <v>0.89434273946498821</v>
      </c>
      <c r="D23" s="5">
        <f>IF(Inputs!$B$16="Linear",MIN(Inputs!$B$14,Inputs!$B$13+(Inputs!$B$14-Inputs!$B$13)*A23/Inputs!$B$15),IF(Inputs!$B$16="S-Curve",Inputs!$B$13+(Inputs!$B$14-Inputs!$B$13)/(1+EXP(-0.25*(A23-Inputs!$B$15/2))),Inputs!$B$13+(Inputs!$B$14-Inputs!$B$13)/(1+EXP(-0.35*(A23-Inputs!$B$15/2)))))</f>
        <v>0.89597858550789466</v>
      </c>
      <c r="E23" s="5">
        <f>MIN(Inputs!$B$14,D23)</f>
        <v>0.89597858550789466</v>
      </c>
      <c r="F23" s="7">
        <f>'Unit Mix &amp; Market Comps'!$B$11*E23</f>
        <v>452.46918568148681</v>
      </c>
      <c r="G23" s="5">
        <f>MAX(0,E23-Inputs!$B$17)</f>
        <v>0.86597858550789464</v>
      </c>
      <c r="H23" s="5">
        <f>Inputs!$B$18/12</f>
        <v>4.1666666666666666E-3</v>
      </c>
      <c r="I23" s="4">
        <f>'Unit Mix &amp; Market Comps'!$E$11*(1+H23)^(A23-1)</f>
        <v>222.76314051799932</v>
      </c>
      <c r="J23" s="4">
        <f>'Unit Mix &amp; Market Comps'!$B$11*I23*G23</f>
        <v>97418.595211182081</v>
      </c>
      <c r="K23" s="4">
        <f>J23*(Inputs!$B$19+Inputs!$B$20)+Inputs!$B$21</f>
        <v>11267.673569006387</v>
      </c>
      <c r="L23" s="17">
        <f t="shared" si="1"/>
        <v>108686.26878018846</v>
      </c>
      <c r="M23" s="1"/>
      <c r="N23" s="1"/>
    </row>
    <row r="24" spans="1:14" ht="18" customHeight="1" x14ac:dyDescent="0.3">
      <c r="A24" s="2">
        <v>21</v>
      </c>
      <c r="B24" s="8">
        <f t="shared" si="0"/>
        <v>2</v>
      </c>
      <c r="C24" s="16">
        <f t="shared" si="2"/>
        <v>0.89597858550789466</v>
      </c>
      <c r="D24" s="5">
        <f>IF(Inputs!$B$16="Linear",MIN(Inputs!$B$14,Inputs!$B$13+(Inputs!$B$14-Inputs!$B$13)*A24/Inputs!$B$15),IF(Inputs!$B$16="S-Curve",Inputs!$B$13+(Inputs!$B$14-Inputs!$B$13)/(1+EXP(-0.25*(A24-Inputs!$B$15/2))),Inputs!$B$13+(Inputs!$B$14-Inputs!$B$13)/(1+EXP(-0.35*(A24-Inputs!$B$15/2)))))</f>
        <v>0.89714861188319839</v>
      </c>
      <c r="E24" s="5">
        <f>MIN(Inputs!$B$14,D24)</f>
        <v>0.89714861188319839</v>
      </c>
      <c r="F24" s="7">
        <f>'Unit Mix &amp; Market Comps'!$B$11*E24</f>
        <v>453.06004900101516</v>
      </c>
      <c r="G24" s="5">
        <f>MAX(0,E24-Inputs!$B$17)</f>
        <v>0.86714861188319836</v>
      </c>
      <c r="H24" s="5">
        <f>Inputs!$B$18/12</f>
        <v>4.1666666666666666E-3</v>
      </c>
      <c r="I24" s="4">
        <f>'Unit Mix &amp; Market Comps'!$E$11*(1+H24)^(A24-1)</f>
        <v>223.69132027015766</v>
      </c>
      <c r="J24" s="4">
        <f>'Unit Mix &amp; Market Comps'!$B$11*I24*G24</f>
        <v>97956.677020606512</v>
      </c>
      <c r="K24" s="4">
        <f>J24*(Inputs!$B$19+Inputs!$B$20)+Inputs!$B$21</f>
        <v>11316.100931854586</v>
      </c>
      <c r="L24" s="17">
        <f t="shared" si="1"/>
        <v>109272.7779524611</v>
      </c>
      <c r="M24" s="1"/>
      <c r="N24" s="1"/>
    </row>
    <row r="25" spans="1:14" ht="18" customHeight="1" x14ac:dyDescent="0.3">
      <c r="A25" s="2">
        <v>22</v>
      </c>
      <c r="B25" s="8">
        <f t="shared" si="0"/>
        <v>2</v>
      </c>
      <c r="C25" s="16">
        <f t="shared" si="2"/>
        <v>0.89714861188319839</v>
      </c>
      <c r="D25" s="5">
        <f>IF(Inputs!$B$16="Linear",MIN(Inputs!$B$14,Inputs!$B$13+(Inputs!$B$14-Inputs!$B$13)*A25/Inputs!$B$15),IF(Inputs!$B$16="S-Curve",Inputs!$B$13+(Inputs!$B$14-Inputs!$B$13)/(1+EXP(-0.25*(A25-Inputs!$B$15/2))),Inputs!$B$13+(Inputs!$B$14-Inputs!$B$13)/(1+EXP(-0.35*(A25-Inputs!$B$15/2)))))</f>
        <v>0.89798185569723987</v>
      </c>
      <c r="E25" s="5">
        <f>MIN(Inputs!$B$14,D25)</f>
        <v>0.89798185569723987</v>
      </c>
      <c r="F25" s="7">
        <f>'Unit Mix &amp; Market Comps'!$B$11*E25</f>
        <v>453.48083712710616</v>
      </c>
      <c r="G25" s="5">
        <f>MAX(0,E25-Inputs!$B$17)</f>
        <v>0.86798185569723985</v>
      </c>
      <c r="H25" s="5">
        <f>Inputs!$B$18/12</f>
        <v>4.1666666666666666E-3</v>
      </c>
      <c r="I25" s="4">
        <f>'Unit Mix &amp; Market Comps'!$E$11*(1+H25)^(A25-1)</f>
        <v>224.62336743794998</v>
      </c>
      <c r="J25" s="4">
        <f>'Unit Mix &amp; Market Comps'!$B$11*I25*G25</f>
        <v>98459.348687386169</v>
      </c>
      <c r="K25" s="4">
        <f>J25*(Inputs!$B$19+Inputs!$B$20)+Inputs!$B$21</f>
        <v>11361.341381864755</v>
      </c>
      <c r="L25" s="17">
        <f t="shared" si="1"/>
        <v>109820.69006925092</v>
      </c>
      <c r="M25" s="1"/>
      <c r="N25" s="1"/>
    </row>
    <row r="26" spans="1:14" ht="18" customHeight="1" x14ac:dyDescent="0.3">
      <c r="A26" s="2">
        <v>23</v>
      </c>
      <c r="B26" s="8">
        <f t="shared" si="0"/>
        <v>2</v>
      </c>
      <c r="C26" s="16">
        <f t="shared" si="2"/>
        <v>0.89798185569723987</v>
      </c>
      <c r="D26" s="5">
        <f>IF(Inputs!$B$16="Linear",MIN(Inputs!$B$14,Inputs!$B$13+(Inputs!$B$14-Inputs!$B$13)*A26/Inputs!$B$15),IF(Inputs!$B$16="S-Curve",Inputs!$B$13+(Inputs!$B$14-Inputs!$B$13)/(1+EXP(-0.25*(A26-Inputs!$B$15/2))),Inputs!$B$13+(Inputs!$B$14-Inputs!$B$13)/(1+EXP(-0.35*(A26-Inputs!$B$15/2)))))</f>
        <v>0.89857343252055366</v>
      </c>
      <c r="E26" s="5">
        <f>MIN(Inputs!$B$14,D26)</f>
        <v>0.89857343252055366</v>
      </c>
      <c r="F26" s="7">
        <f>'Unit Mix &amp; Market Comps'!$B$11*E26</f>
        <v>453.77958342287963</v>
      </c>
      <c r="G26" s="5">
        <f>MAX(0,E26-Inputs!$B$17)</f>
        <v>0.86857343252055363</v>
      </c>
      <c r="H26" s="5">
        <f>Inputs!$B$18/12</f>
        <v>4.1666666666666666E-3</v>
      </c>
      <c r="I26" s="4">
        <f>'Unit Mix &amp; Market Comps'!$E$11*(1+H26)^(A26-1)</f>
        <v>225.55929813560809</v>
      </c>
      <c r="J26" s="4">
        <f>'Unit Mix &amp; Market Comps'!$B$11*I26*G26</f>
        <v>98936.980978378881</v>
      </c>
      <c r="K26" s="4">
        <f>J26*(Inputs!$B$19+Inputs!$B$20)+Inputs!$B$21</f>
        <v>11404.328288054099</v>
      </c>
      <c r="L26" s="17">
        <f t="shared" si="1"/>
        <v>110341.30926643297</v>
      </c>
      <c r="M26" s="1"/>
      <c r="N26" s="1"/>
    </row>
    <row r="27" spans="1:14" ht="18" customHeight="1" x14ac:dyDescent="0.3">
      <c r="A27" s="2">
        <v>24</v>
      </c>
      <c r="B27" s="8">
        <f t="shared" si="0"/>
        <v>2</v>
      </c>
      <c r="C27" s="16">
        <f t="shared" si="2"/>
        <v>0.89857343252055366</v>
      </c>
      <c r="D27" s="5">
        <f>IF(Inputs!$B$16="Linear",MIN(Inputs!$B$14,Inputs!$B$13+(Inputs!$B$14-Inputs!$B$13)*A27/Inputs!$B$15),IF(Inputs!$B$16="S-Curve",Inputs!$B$13+(Inputs!$B$14-Inputs!$B$13)/(1+EXP(-0.25*(A27-Inputs!$B$15/2))),Inputs!$B$13+(Inputs!$B$14-Inputs!$B$13)/(1+EXP(-0.35*(A27-Inputs!$B$15/2)))))</f>
        <v>0.89899251574114325</v>
      </c>
      <c r="E27" s="5">
        <f>MIN(Inputs!$B$14,D27)</f>
        <v>0.89899251574114325</v>
      </c>
      <c r="F27" s="7">
        <f>'Unit Mix &amp; Market Comps'!$B$11*E27</f>
        <v>453.99122044927736</v>
      </c>
      <c r="G27" s="5">
        <f>MAX(0,E27-Inputs!$B$17)</f>
        <v>0.86899251574114322</v>
      </c>
      <c r="H27" s="5">
        <f>Inputs!$B$18/12</f>
        <v>4.1666666666666666E-3</v>
      </c>
      <c r="I27" s="4">
        <f>'Unit Mix &amp; Market Comps'!$E$11*(1+H27)^(A27-1)</f>
        <v>226.49912854450653</v>
      </c>
      <c r="J27" s="4">
        <f>'Unit Mix &amp; Market Comps'!$B$11*I27*G27</f>
        <v>99397.154001168994</v>
      </c>
      <c r="K27" s="4">
        <f>J27*(Inputs!$B$19+Inputs!$B$20)+Inputs!$B$21</f>
        <v>11445.743860105209</v>
      </c>
      <c r="L27" s="17">
        <f t="shared" si="1"/>
        <v>110842.89786127421</v>
      </c>
      <c r="M27" s="1"/>
      <c r="N27" s="1"/>
    </row>
    <row r="28" spans="1:14" ht="18" customHeight="1" x14ac:dyDescent="0.3">
      <c r="A28" s="2">
        <v>25</v>
      </c>
      <c r="B28" s="8">
        <f t="shared" si="0"/>
        <v>3</v>
      </c>
      <c r="C28" s="16">
        <f t="shared" si="2"/>
        <v>0.89899251574114325</v>
      </c>
      <c r="D28" s="5">
        <f>IF(Inputs!$B$16="Linear",MIN(Inputs!$B$14,Inputs!$B$13+(Inputs!$B$14-Inputs!$B$13)*A28/Inputs!$B$15),IF(Inputs!$B$16="S-Curve",Inputs!$B$13+(Inputs!$B$14-Inputs!$B$13)/(1+EXP(-0.25*(A28-Inputs!$B$15/2))),Inputs!$B$13+(Inputs!$B$14-Inputs!$B$13)/(1+EXP(-0.35*(A28-Inputs!$B$15/2)))))</f>
        <v>0.89928894169940887</v>
      </c>
      <c r="E28" s="5">
        <f>MIN(Inputs!$B$14,D28)</f>
        <v>0.89928894169940887</v>
      </c>
      <c r="F28" s="7">
        <f>'Unit Mix &amp; Market Comps'!$B$11*E28</f>
        <v>454.14091555820147</v>
      </c>
      <c r="G28" s="5">
        <f>MAX(0,E28-Inputs!$B$17)</f>
        <v>0.86928894169940885</v>
      </c>
      <c r="H28" s="5">
        <f>Inputs!$B$18/12</f>
        <v>4.1666666666666666E-3</v>
      </c>
      <c r="I28" s="4">
        <f>'Unit Mix &amp; Market Comps'!$E$11*(1+H28)^(A28-1)</f>
        <v>227.44287491344193</v>
      </c>
      <c r="J28" s="4">
        <f>'Unit Mix &amp; Market Comps'!$B$11*I28*G28</f>
        <v>99845.35589544136</v>
      </c>
      <c r="K28" s="4">
        <f>J28*(Inputs!$B$19+Inputs!$B$20)+Inputs!$B$21</f>
        <v>11486.082030589721</v>
      </c>
      <c r="L28" s="17">
        <f t="shared" si="1"/>
        <v>111331.43792603108</v>
      </c>
      <c r="M28" s="1"/>
      <c r="N28" s="1"/>
    </row>
    <row r="29" spans="1:14" ht="18" customHeight="1" x14ac:dyDescent="0.3">
      <c r="A29" s="2">
        <v>26</v>
      </c>
      <c r="B29" s="8">
        <f t="shared" si="0"/>
        <v>3</v>
      </c>
      <c r="C29" s="16">
        <f t="shared" si="2"/>
        <v>0.89928894169940887</v>
      </c>
      <c r="D29" s="5">
        <f>IF(Inputs!$B$16="Linear",MIN(Inputs!$B$14,Inputs!$B$13+(Inputs!$B$14-Inputs!$B$13)*A29/Inputs!$B$15),IF(Inputs!$B$16="S-Curve",Inputs!$B$13+(Inputs!$B$14-Inputs!$B$13)/(1+EXP(-0.25*(A29-Inputs!$B$15/2))),Inputs!$B$13+(Inputs!$B$14-Inputs!$B$13)/(1+EXP(-0.35*(A29-Inputs!$B$15/2)))))</f>
        <v>0.89949837992187165</v>
      </c>
      <c r="E29" s="5">
        <f>MIN(Inputs!$B$14,D29)</f>
        <v>0.89949837992187165</v>
      </c>
      <c r="F29" s="7">
        <f>'Unit Mix &amp; Market Comps'!$B$11*E29</f>
        <v>454.24668186054521</v>
      </c>
      <c r="G29" s="5">
        <f>MAX(0,E29-Inputs!$B$17)</f>
        <v>0.86949837992187162</v>
      </c>
      <c r="H29" s="5">
        <f>Inputs!$B$18/12</f>
        <v>4.1666666666666666E-3</v>
      </c>
      <c r="I29" s="4">
        <f>'Unit Mix &amp; Market Comps'!$E$11*(1+H29)^(A29-1)</f>
        <v>228.39055355891458</v>
      </c>
      <c r="J29" s="4">
        <f>'Unit Mix &amp; Market Comps'!$B$11*I29*G29</f>
        <v>100285.53423601252</v>
      </c>
      <c r="K29" s="4">
        <f>J29*(Inputs!$B$19+Inputs!$B$20)+Inputs!$B$21</f>
        <v>11525.698081241126</v>
      </c>
      <c r="L29" s="17">
        <f t="shared" si="1"/>
        <v>111811.23231725364</v>
      </c>
      <c r="M29" s="1"/>
      <c r="N29" s="1"/>
    </row>
    <row r="30" spans="1:14" ht="18" customHeight="1" x14ac:dyDescent="0.3">
      <c r="A30" s="2">
        <v>27</v>
      </c>
      <c r="B30" s="8">
        <f t="shared" si="0"/>
        <v>3</v>
      </c>
      <c r="C30" s="16">
        <f t="shared" si="2"/>
        <v>0.89949837992187165</v>
      </c>
      <c r="D30" s="5">
        <f>IF(Inputs!$B$16="Linear",MIN(Inputs!$B$14,Inputs!$B$13+(Inputs!$B$14-Inputs!$B$13)*A30/Inputs!$B$15),IF(Inputs!$B$16="S-Curve",Inputs!$B$13+(Inputs!$B$14-Inputs!$B$13)/(1+EXP(-0.25*(A30-Inputs!$B$15/2))),Inputs!$B$13+(Inputs!$B$14-Inputs!$B$13)/(1+EXP(-0.35*(A30-Inputs!$B$15/2)))))</f>
        <v>0.89964624278409888</v>
      </c>
      <c r="E30" s="5">
        <f>MIN(Inputs!$B$14,D30)</f>
        <v>0.89964624278409888</v>
      </c>
      <c r="F30" s="7">
        <f>'Unit Mix &amp; Market Comps'!$B$11*E30</f>
        <v>454.32135260596993</v>
      </c>
      <c r="G30" s="5">
        <f>MAX(0,E30-Inputs!$B$17)</f>
        <v>0.86964624278409886</v>
      </c>
      <c r="H30" s="5">
        <f>Inputs!$B$18/12</f>
        <v>4.1666666666666666E-3</v>
      </c>
      <c r="I30" s="4">
        <f>'Unit Mix &amp; Market Comps'!$E$11*(1+H30)^(A30-1)</f>
        <v>229.34218086541011</v>
      </c>
      <c r="J30" s="4">
        <f>'Unit Mix &amp; Market Comps'!$B$11*I30*G30</f>
        <v>100720.51578026515</v>
      </c>
      <c r="K30" s="4">
        <f>J30*(Inputs!$B$19+Inputs!$B$20)+Inputs!$B$21</f>
        <v>11564.846420223863</v>
      </c>
      <c r="L30" s="17">
        <f t="shared" si="1"/>
        <v>112285.36220048902</v>
      </c>
      <c r="M30" s="1"/>
      <c r="N30" s="1"/>
    </row>
    <row r="31" spans="1:14" ht="18" customHeight="1" x14ac:dyDescent="0.3">
      <c r="A31" s="2">
        <v>28</v>
      </c>
      <c r="B31" s="8">
        <f t="shared" si="0"/>
        <v>3</v>
      </c>
      <c r="C31" s="16">
        <f t="shared" si="2"/>
        <v>0.89964624278409888</v>
      </c>
      <c r="D31" s="5">
        <f>IF(Inputs!$B$16="Linear",MIN(Inputs!$B$14,Inputs!$B$13+(Inputs!$B$14-Inputs!$B$13)*A31/Inputs!$B$15),IF(Inputs!$B$16="S-Curve",Inputs!$B$13+(Inputs!$B$14-Inputs!$B$13)/(1+EXP(-0.25*(A31-Inputs!$B$15/2))),Inputs!$B$13+(Inputs!$B$14-Inputs!$B$13)/(1+EXP(-0.35*(A31-Inputs!$B$15/2)))))</f>
        <v>0.89975057649317658</v>
      </c>
      <c r="E31" s="5">
        <f>MIN(Inputs!$B$14,D31)</f>
        <v>0.89975057649317658</v>
      </c>
      <c r="F31" s="7">
        <f>'Unit Mix &amp; Market Comps'!$B$11*E31</f>
        <v>454.37404112905415</v>
      </c>
      <c r="G31" s="5">
        <f>MAX(0,E31-Inputs!$B$17)</f>
        <v>0.86975057649317655</v>
      </c>
      <c r="H31" s="5">
        <f>Inputs!$B$18/12</f>
        <v>4.1666666666666666E-3</v>
      </c>
      <c r="I31" s="4">
        <f>'Unit Mix &amp; Market Comps'!$E$11*(1+H31)^(A31-1)</f>
        <v>230.29777328568261</v>
      </c>
      <c r="J31" s="4">
        <f>'Unit Mix &amp; Market Comps'!$B$11*I31*G31</f>
        <v>101152.31864556026</v>
      </c>
      <c r="K31" s="4">
        <f>J31*(Inputs!$B$19+Inputs!$B$20)+Inputs!$B$21</f>
        <v>11603.708678100422</v>
      </c>
      <c r="L31" s="17">
        <f t="shared" si="1"/>
        <v>112756.02732366067</v>
      </c>
      <c r="M31" s="1"/>
      <c r="N31" s="1"/>
    </row>
    <row r="32" spans="1:14" ht="18" customHeight="1" x14ac:dyDescent="0.3">
      <c r="A32" s="2">
        <v>29</v>
      </c>
      <c r="B32" s="8">
        <f t="shared" si="0"/>
        <v>3</v>
      </c>
      <c r="C32" s="16">
        <f t="shared" si="2"/>
        <v>0.89975057649317658</v>
      </c>
      <c r="D32" s="5">
        <f>IF(Inputs!$B$16="Linear",MIN(Inputs!$B$14,Inputs!$B$13+(Inputs!$B$14-Inputs!$B$13)*A32/Inputs!$B$15),IF(Inputs!$B$16="S-Curve",Inputs!$B$13+(Inputs!$B$14-Inputs!$B$13)/(1+EXP(-0.25*(A32-Inputs!$B$15/2))),Inputs!$B$13+(Inputs!$B$14-Inputs!$B$13)/(1+EXP(-0.35*(A32-Inputs!$B$15/2)))))</f>
        <v>0.89982416711948066</v>
      </c>
      <c r="E32" s="5">
        <f>MIN(Inputs!$B$14,D32)</f>
        <v>0.89982416711948066</v>
      </c>
      <c r="F32" s="7">
        <f>'Unit Mix &amp; Market Comps'!$B$11*E32</f>
        <v>454.41120439533773</v>
      </c>
      <c r="G32" s="5">
        <f>MAX(0,E32-Inputs!$B$17)</f>
        <v>0.86982416711948063</v>
      </c>
      <c r="H32" s="5">
        <f>Inputs!$B$18/12</f>
        <v>4.1666666666666666E-3</v>
      </c>
      <c r="I32" s="4">
        <f>'Unit Mix &amp; Market Comps'!$E$11*(1+H32)^(A32-1)</f>
        <v>231.25734734103963</v>
      </c>
      <c r="J32" s="4">
        <f>'Unit Mix &amp; Market Comps'!$B$11*I32*G32</f>
        <v>101582.38091829601</v>
      </c>
      <c r="K32" s="4">
        <f>J32*(Inputs!$B$19+Inputs!$B$20)+Inputs!$B$21</f>
        <v>11642.414282646641</v>
      </c>
      <c r="L32" s="17">
        <f t="shared" si="1"/>
        <v>113224.79520094265</v>
      </c>
      <c r="M32" s="1"/>
      <c r="N32" s="1"/>
    </row>
    <row r="33" spans="1:14" ht="18" customHeight="1" x14ac:dyDescent="0.3">
      <c r="A33" s="2">
        <v>30</v>
      </c>
      <c r="B33" s="8">
        <f t="shared" si="0"/>
        <v>3</v>
      </c>
      <c r="C33" s="16">
        <f t="shared" si="2"/>
        <v>0.89982416711948066</v>
      </c>
      <c r="D33" s="5">
        <f>IF(Inputs!$B$16="Linear",MIN(Inputs!$B$14,Inputs!$B$13+(Inputs!$B$14-Inputs!$B$13)*A33/Inputs!$B$15),IF(Inputs!$B$16="S-Curve",Inputs!$B$13+(Inputs!$B$14-Inputs!$B$13)/(1+EXP(-0.25*(A33-Inputs!$B$15/2))),Inputs!$B$13+(Inputs!$B$14-Inputs!$B$13)/(1+EXP(-0.35*(A33-Inputs!$B$15/2)))))</f>
        <v>0.89987605931778691</v>
      </c>
      <c r="E33" s="5">
        <f>MIN(Inputs!$B$14,D33)</f>
        <v>0.89987605931778691</v>
      </c>
      <c r="F33" s="7">
        <f>'Unit Mix &amp; Market Comps'!$B$11*E33</f>
        <v>454.43740995548239</v>
      </c>
      <c r="G33" s="5">
        <f>MAX(0,E33-Inputs!$B$17)</f>
        <v>0.86987605931778689</v>
      </c>
      <c r="H33" s="5">
        <f>Inputs!$B$18/12</f>
        <v>4.1666666666666666E-3</v>
      </c>
      <c r="I33" s="4">
        <f>'Unit Mix &amp; Market Comps'!$E$11*(1+H33)^(A33-1)</f>
        <v>232.22091962162727</v>
      </c>
      <c r="J33" s="4">
        <f>'Unit Mix &amp; Market Comps'!$B$11*I33*G33</f>
        <v>102011.7263180649</v>
      </c>
      <c r="K33" s="4">
        <f>J33*(Inputs!$B$19+Inputs!$B$20)+Inputs!$B$21</f>
        <v>11681.055368625841</v>
      </c>
      <c r="L33" s="17">
        <f t="shared" si="1"/>
        <v>113692.78168669074</v>
      </c>
      <c r="M33" s="1"/>
      <c r="N33" s="1"/>
    </row>
    <row r="34" spans="1:14" ht="18" customHeight="1" x14ac:dyDescent="0.3">
      <c r="A34" s="2">
        <v>31</v>
      </c>
      <c r="B34" s="8">
        <f t="shared" si="0"/>
        <v>3</v>
      </c>
      <c r="C34" s="16">
        <f t="shared" si="2"/>
        <v>0.89987605931778691</v>
      </c>
      <c r="D34" s="5">
        <f>IF(Inputs!$B$16="Linear",MIN(Inputs!$B$14,Inputs!$B$13+(Inputs!$B$14-Inputs!$B$13)*A34/Inputs!$B$15),IF(Inputs!$B$16="S-Curve",Inputs!$B$13+(Inputs!$B$14-Inputs!$B$13)/(1+EXP(-0.25*(A34-Inputs!$B$15/2))),Inputs!$B$13+(Inputs!$B$14-Inputs!$B$13)/(1+EXP(-0.35*(A34-Inputs!$B$15/2)))))</f>
        <v>0.89991264391091463</v>
      </c>
      <c r="E34" s="5">
        <f>MIN(Inputs!$B$14,D34)</f>
        <v>0.89991264391091463</v>
      </c>
      <c r="F34" s="7">
        <f>'Unit Mix &amp; Market Comps'!$B$11*E34</f>
        <v>454.45588517501187</v>
      </c>
      <c r="G34" s="5">
        <f>MAX(0,E34-Inputs!$B$17)</f>
        <v>0.86991264391091461</v>
      </c>
      <c r="H34" s="5">
        <f>Inputs!$B$18/12</f>
        <v>4.1666666666666666E-3</v>
      </c>
      <c r="I34" s="4">
        <f>'Unit Mix &amp; Market Comps'!$E$11*(1+H34)^(A34-1)</f>
        <v>233.1885067867174</v>
      </c>
      <c r="J34" s="4">
        <f>'Unit Mix &amp; Market Comps'!$B$11*I34*G34</f>
        <v>102441.08338657815</v>
      </c>
      <c r="K34" s="4">
        <f>J34*(Inputs!$B$19+Inputs!$B$20)+Inputs!$B$21</f>
        <v>11719.697504792033</v>
      </c>
      <c r="L34" s="17">
        <f t="shared" si="1"/>
        <v>114160.78089137017</v>
      </c>
      <c r="M34" s="1"/>
      <c r="N34" s="1"/>
    </row>
    <row r="35" spans="1:14" ht="18" customHeight="1" x14ac:dyDescent="0.3">
      <c r="A35" s="2">
        <v>32</v>
      </c>
      <c r="B35" s="8">
        <f t="shared" si="0"/>
        <v>3</v>
      </c>
      <c r="C35" s="16">
        <f t="shared" si="2"/>
        <v>0.89991264391091463</v>
      </c>
      <c r="D35" s="5">
        <f>IF(Inputs!$B$16="Linear",MIN(Inputs!$B$14,Inputs!$B$13+(Inputs!$B$14-Inputs!$B$13)*A35/Inputs!$B$15),IF(Inputs!$B$16="S-Curve",Inputs!$B$13+(Inputs!$B$14-Inputs!$B$13)/(1+EXP(-0.25*(A35-Inputs!$B$15/2))),Inputs!$B$13+(Inputs!$B$14-Inputs!$B$13)/(1+EXP(-0.35*(A35-Inputs!$B$15/2)))))</f>
        <v>0.89993843297511711</v>
      </c>
      <c r="E35" s="5">
        <f>MIN(Inputs!$B$14,D35)</f>
        <v>0.89993843297511711</v>
      </c>
      <c r="F35" s="7">
        <f>'Unit Mix &amp; Market Comps'!$B$11*E35</f>
        <v>454.46890865243415</v>
      </c>
      <c r="G35" s="5">
        <f>MAX(0,E35-Inputs!$B$17)</f>
        <v>0.86993843297511708</v>
      </c>
      <c r="H35" s="5">
        <f>Inputs!$B$18/12</f>
        <v>4.1666666666666666E-3</v>
      </c>
      <c r="I35" s="4">
        <f>'Unit Mix &amp; Market Comps'!$E$11*(1+H35)^(A35-1)</f>
        <v>234.1601255649955</v>
      </c>
      <c r="J35" s="4">
        <f>'Unit Mix &amp; Market Comps'!$B$11*I35*G35</f>
        <v>102870.97081313076</v>
      </c>
      <c r="K35" s="4">
        <f>J35*(Inputs!$B$19+Inputs!$B$20)+Inputs!$B$21</f>
        <v>11758.387373181768</v>
      </c>
      <c r="L35" s="17">
        <f t="shared" si="1"/>
        <v>114629.35818631253</v>
      </c>
      <c r="M35" s="1"/>
      <c r="N35" s="1"/>
    </row>
    <row r="36" spans="1:14" ht="18" customHeight="1" x14ac:dyDescent="0.3">
      <c r="A36" s="2">
        <v>33</v>
      </c>
      <c r="B36" s="8">
        <f t="shared" ref="B36:B63" si="3">ROUNDUP(A36/12,0)</f>
        <v>3</v>
      </c>
      <c r="C36" s="16">
        <f t="shared" si="2"/>
        <v>0.89993843297511711</v>
      </c>
      <c r="D36" s="5">
        <f>IF(Inputs!$B$16="Linear",MIN(Inputs!$B$14,Inputs!$B$13+(Inputs!$B$14-Inputs!$B$13)*A36/Inputs!$B$15),IF(Inputs!$B$16="S-Curve",Inputs!$B$13+(Inputs!$B$14-Inputs!$B$13)/(1+EXP(-0.25*(A36-Inputs!$B$15/2))),Inputs!$B$13+(Inputs!$B$14-Inputs!$B$13)/(1+EXP(-0.35*(A36-Inputs!$B$15/2)))))</f>
        <v>0.89995661036334496</v>
      </c>
      <c r="E36" s="5">
        <f>MIN(Inputs!$B$14,D36)</f>
        <v>0.89995661036334496</v>
      </c>
      <c r="F36" s="7">
        <f>'Unit Mix &amp; Market Comps'!$B$11*E36</f>
        <v>454.47808823348919</v>
      </c>
      <c r="G36" s="5">
        <f>MAX(0,E36-Inputs!$B$17)</f>
        <v>0.86995661036334493</v>
      </c>
      <c r="H36" s="5">
        <f>Inputs!$B$18/12</f>
        <v>4.1666666666666666E-3</v>
      </c>
      <c r="I36" s="4">
        <f>'Unit Mix &amp; Market Comps'!$E$11*(1+H36)^(A36-1)</f>
        <v>235.13579275484958</v>
      </c>
      <c r="J36" s="4">
        <f>'Unit Mix &amp; Market Comps'!$B$11*I36*G36</f>
        <v>103301.75830625398</v>
      </c>
      <c r="K36" s="4">
        <f>J36*(Inputs!$B$19+Inputs!$B$20)+Inputs!$B$21</f>
        <v>11797.158247562858</v>
      </c>
      <c r="L36" s="17">
        <f t="shared" ref="L36:L63" si="4">J36+K36</f>
        <v>115098.91655381683</v>
      </c>
      <c r="M36" s="1"/>
      <c r="N36" s="1"/>
    </row>
    <row r="37" spans="1:14" ht="18" customHeight="1" x14ac:dyDescent="0.3">
      <c r="A37" s="2">
        <v>34</v>
      </c>
      <c r="B37" s="8">
        <f t="shared" si="3"/>
        <v>3</v>
      </c>
      <c r="C37" s="16">
        <f t="shared" ref="C37:C63" si="5">E36</f>
        <v>0.89995661036334496</v>
      </c>
      <c r="D37" s="5">
        <f>IF(Inputs!$B$16="Linear",MIN(Inputs!$B$14,Inputs!$B$13+(Inputs!$B$14-Inputs!$B$13)*A37/Inputs!$B$15),IF(Inputs!$B$16="S-Curve",Inputs!$B$13+(Inputs!$B$14-Inputs!$B$13)/(1+EXP(-0.25*(A37-Inputs!$B$15/2))),Inputs!$B$13+(Inputs!$B$14-Inputs!$B$13)/(1+EXP(-0.35*(A37-Inputs!$B$15/2)))))</f>
        <v>0.89996942180971318</v>
      </c>
      <c r="E37" s="5">
        <f>MIN(Inputs!$B$14,D37)</f>
        <v>0.89996942180971318</v>
      </c>
      <c r="F37" s="7">
        <f>'Unit Mix &amp; Market Comps'!$B$11*E37</f>
        <v>454.48455801390514</v>
      </c>
      <c r="G37" s="5">
        <f>MAX(0,E37-Inputs!$B$17)</f>
        <v>0.86996942180971315</v>
      </c>
      <c r="H37" s="5">
        <f>Inputs!$B$18/12</f>
        <v>4.1666666666666666E-3</v>
      </c>
      <c r="I37" s="4">
        <f>'Unit Mix &amp; Market Comps'!$E$11*(1+H37)^(A37-1)</f>
        <v>236.11552522466147</v>
      </c>
      <c r="J37" s="4">
        <f>'Unit Mix &amp; Market Comps'!$B$11*I37*G37</f>
        <v>103733.70991479771</v>
      </c>
      <c r="K37" s="4">
        <f>J37*(Inputs!$B$19+Inputs!$B$20)+Inputs!$B$21</f>
        <v>11836.033892331794</v>
      </c>
      <c r="L37" s="17">
        <f t="shared" si="4"/>
        <v>115569.7438071295</v>
      </c>
      <c r="M37" s="1"/>
      <c r="N37" s="1"/>
    </row>
    <row r="38" spans="1:14" ht="18" customHeight="1" x14ac:dyDescent="0.3">
      <c r="A38" s="2">
        <v>35</v>
      </c>
      <c r="B38" s="8">
        <f t="shared" si="3"/>
        <v>3</v>
      </c>
      <c r="C38" s="16">
        <f t="shared" si="5"/>
        <v>0.89996942180971318</v>
      </c>
      <c r="D38" s="5">
        <f>IF(Inputs!$B$16="Linear",MIN(Inputs!$B$14,Inputs!$B$13+(Inputs!$B$14-Inputs!$B$13)*A38/Inputs!$B$15),IF(Inputs!$B$16="S-Curve",Inputs!$B$13+(Inputs!$B$14-Inputs!$B$13)/(1+EXP(-0.25*(A38-Inputs!$B$15/2))),Inputs!$B$13+(Inputs!$B$14-Inputs!$B$13)/(1+EXP(-0.35*(A38-Inputs!$B$15/2)))))</f>
        <v>0.89997845090525852</v>
      </c>
      <c r="E38" s="5">
        <f>MIN(Inputs!$B$14,D38)</f>
        <v>0.89997845090525852</v>
      </c>
      <c r="F38" s="7">
        <f>'Unit Mix &amp; Market Comps'!$B$11*E38</f>
        <v>454.48911770715557</v>
      </c>
      <c r="G38" s="5">
        <f>MAX(0,E38-Inputs!$B$17)</f>
        <v>0.86997845090525849</v>
      </c>
      <c r="H38" s="5">
        <f>Inputs!$B$18/12</f>
        <v>4.1666666666666666E-3</v>
      </c>
      <c r="I38" s="4">
        <f>'Unit Mix &amp; Market Comps'!$E$11*(1+H38)^(A38-1)</f>
        <v>237.09933991309754</v>
      </c>
      <c r="J38" s="4">
        <f>'Unit Mix &amp; Market Comps'!$B$11*I38*G38</f>
        <v>104167.01480636925</v>
      </c>
      <c r="K38" s="4">
        <f>J38*(Inputs!$B$19+Inputs!$B$20)+Inputs!$B$21</f>
        <v>11875.031332573231</v>
      </c>
      <c r="L38" s="17">
        <f t="shared" si="4"/>
        <v>116042.04613894247</v>
      </c>
      <c r="M38" s="1"/>
      <c r="N38" s="1"/>
    </row>
    <row r="39" spans="1:14" ht="18" customHeight="1" x14ac:dyDescent="0.3">
      <c r="A39" s="2">
        <v>36</v>
      </c>
      <c r="B39" s="8">
        <f t="shared" si="3"/>
        <v>3</v>
      </c>
      <c r="C39" s="16">
        <f t="shared" si="5"/>
        <v>0.89997845090525852</v>
      </c>
      <c r="D39" s="5">
        <f>IF(Inputs!$B$16="Linear",MIN(Inputs!$B$14,Inputs!$B$13+(Inputs!$B$14-Inputs!$B$13)*A39/Inputs!$B$15),IF(Inputs!$B$16="S-Curve",Inputs!$B$13+(Inputs!$B$14-Inputs!$B$13)/(1+EXP(-0.25*(A39-Inputs!$B$15/2))),Inputs!$B$13+(Inputs!$B$14-Inputs!$B$13)/(1+EXP(-0.35*(A39-Inputs!$B$15/2)))))</f>
        <v>0.89998481410887377</v>
      </c>
      <c r="E39" s="5">
        <f>MIN(Inputs!$B$14,D39)</f>
        <v>0.89998481410887377</v>
      </c>
      <c r="F39" s="7">
        <f>'Unit Mix &amp; Market Comps'!$B$11*E39</f>
        <v>454.49233112498126</v>
      </c>
      <c r="G39" s="5">
        <f>MAX(0,E39-Inputs!$B$17)</f>
        <v>0.86998481410887374</v>
      </c>
      <c r="H39" s="5">
        <f>Inputs!$B$18/12</f>
        <v>4.1666666666666666E-3</v>
      </c>
      <c r="I39" s="4">
        <f>'Unit Mix &amp; Market Comps'!$E$11*(1+H39)^(A39-1)</f>
        <v>238.08725382940216</v>
      </c>
      <c r="J39" s="4">
        <f>'Unit Mix &amp; Market Comps'!$B$11*I39*G39</f>
        <v>104601.80910855466</v>
      </c>
      <c r="K39" s="4">
        <f>J39*(Inputs!$B$19+Inputs!$B$20)+Inputs!$B$21</f>
        <v>11914.162819769919</v>
      </c>
      <c r="L39" s="17">
        <f t="shared" si="4"/>
        <v>116515.97192832458</v>
      </c>
      <c r="M39" s="1"/>
      <c r="N39" s="1"/>
    </row>
    <row r="40" spans="1:14" ht="18" customHeight="1" x14ac:dyDescent="0.3">
      <c r="A40" s="2">
        <v>37</v>
      </c>
      <c r="B40" s="8">
        <f t="shared" si="3"/>
        <v>4</v>
      </c>
      <c r="C40" s="16">
        <f t="shared" si="5"/>
        <v>0.89998481410887377</v>
      </c>
      <c r="D40" s="5">
        <f>IF(Inputs!$B$16="Linear",MIN(Inputs!$B$14,Inputs!$B$13+(Inputs!$B$14-Inputs!$B$13)*A40/Inputs!$B$15),IF(Inputs!$B$16="S-Curve",Inputs!$B$13+(Inputs!$B$14-Inputs!$B$13)/(1+EXP(-0.25*(A40-Inputs!$B$15/2))),Inputs!$B$13+(Inputs!$B$14-Inputs!$B$13)/(1+EXP(-0.35*(A40-Inputs!$B$15/2)))))</f>
        <v>0.89998929843472852</v>
      </c>
      <c r="E40" s="5">
        <f>MIN(Inputs!$B$14,D40)</f>
        <v>0.89998929843472852</v>
      </c>
      <c r="F40" s="7">
        <f>'Unit Mix &amp; Market Comps'!$B$11*E40</f>
        <v>454.49459570953792</v>
      </c>
      <c r="G40" s="5">
        <f>MAX(0,E40-Inputs!$B$17)</f>
        <v>0.8699892984347285</v>
      </c>
      <c r="H40" s="5">
        <f>Inputs!$B$18/12</f>
        <v>4.1666666666666666E-3</v>
      </c>
      <c r="I40" s="4">
        <f>'Unit Mix &amp; Market Comps'!$E$11*(1+H40)^(A40-1)</f>
        <v>239.07928405369128</v>
      </c>
      <c r="J40" s="4">
        <f>'Unit Mix &amp; Market Comps'!$B$11*I40*G40</f>
        <v>105038.19139509476</v>
      </c>
      <c r="K40" s="4">
        <f>J40*(Inputs!$B$19+Inputs!$B$20)+Inputs!$B$21</f>
        <v>11953.437225558528</v>
      </c>
      <c r="L40" s="17">
        <f t="shared" si="4"/>
        <v>116991.6286206533</v>
      </c>
      <c r="M40" s="1"/>
      <c r="N40" s="1"/>
    </row>
    <row r="41" spans="1:14" ht="18" customHeight="1" x14ac:dyDescent="0.3">
      <c r="A41" s="2">
        <v>38</v>
      </c>
      <c r="B41" s="8">
        <f t="shared" si="3"/>
        <v>4</v>
      </c>
      <c r="C41" s="16">
        <f t="shared" si="5"/>
        <v>0.89998929843472852</v>
      </c>
      <c r="D41" s="5">
        <f>IF(Inputs!$B$16="Linear",MIN(Inputs!$B$14,Inputs!$B$13+(Inputs!$B$14-Inputs!$B$13)*A41/Inputs!$B$15),IF(Inputs!$B$16="S-Curve",Inputs!$B$13+(Inputs!$B$14-Inputs!$B$13)/(1+EXP(-0.25*(A41-Inputs!$B$15/2))),Inputs!$B$13+(Inputs!$B$14-Inputs!$B$13)/(1+EXP(-0.35*(A41-Inputs!$B$15/2)))))</f>
        <v>0.89999245861092447</v>
      </c>
      <c r="E41" s="5">
        <f>MIN(Inputs!$B$14,D41)</f>
        <v>0.89999245861092447</v>
      </c>
      <c r="F41" s="7">
        <f>'Unit Mix &amp; Market Comps'!$B$11*E41</f>
        <v>454.49619159851687</v>
      </c>
      <c r="G41" s="5">
        <f>MAX(0,E41-Inputs!$B$17)</f>
        <v>0.86999245861092445</v>
      </c>
      <c r="H41" s="5">
        <f>Inputs!$B$18/12</f>
        <v>4.1666666666666666E-3</v>
      </c>
      <c r="I41" s="4">
        <f>'Unit Mix &amp; Market Comps'!$E$11*(1+H41)^(A41-1)</f>
        <v>240.07544773724834</v>
      </c>
      <c r="J41" s="4">
        <f>'Unit Mix &amp; Market Comps'!$B$11*I41*G41</f>
        <v>105476.23365966883</v>
      </c>
      <c r="K41" s="4">
        <f>J41*(Inputs!$B$19+Inputs!$B$20)+Inputs!$B$21</f>
        <v>11992.861029370193</v>
      </c>
      <c r="L41" s="17">
        <f t="shared" si="4"/>
        <v>117469.09468903902</v>
      </c>
      <c r="M41" s="1"/>
      <c r="N41" s="1"/>
    </row>
    <row r="42" spans="1:14" ht="18" customHeight="1" x14ac:dyDescent="0.3">
      <c r="A42" s="2">
        <v>39</v>
      </c>
      <c r="B42" s="8">
        <f t="shared" si="3"/>
        <v>4</v>
      </c>
      <c r="C42" s="16">
        <f t="shared" si="5"/>
        <v>0.89999245861092447</v>
      </c>
      <c r="D42" s="5">
        <f>IF(Inputs!$B$16="Linear",MIN(Inputs!$B$14,Inputs!$B$13+(Inputs!$B$14-Inputs!$B$13)*A42/Inputs!$B$15),IF(Inputs!$B$16="S-Curve",Inputs!$B$13+(Inputs!$B$14-Inputs!$B$13)/(1+EXP(-0.25*(A42-Inputs!$B$15/2))),Inputs!$B$13+(Inputs!$B$14-Inputs!$B$13)/(1+EXP(-0.35*(A42-Inputs!$B$15/2)))))</f>
        <v>0.89999468561161489</v>
      </c>
      <c r="E42" s="5">
        <f>MIN(Inputs!$B$14,D42)</f>
        <v>0.89999468561161489</v>
      </c>
      <c r="F42" s="7">
        <f>'Unit Mix &amp; Market Comps'!$B$11*E42</f>
        <v>454.49731623386549</v>
      </c>
      <c r="G42" s="5">
        <f>MAX(0,E42-Inputs!$B$17)</f>
        <v>0.86999468561161486</v>
      </c>
      <c r="H42" s="5">
        <f>Inputs!$B$18/12</f>
        <v>4.1666666666666666E-3</v>
      </c>
      <c r="I42" s="4">
        <f>'Unit Mix &amp; Market Comps'!$E$11*(1+H42)^(A42-1)</f>
        <v>241.07576210282022</v>
      </c>
      <c r="J42" s="4">
        <f>'Unit Mix &amp; Market Comps'!$B$11*I42*G42</f>
        <v>105915.98908890788</v>
      </c>
      <c r="K42" s="4">
        <f>J42*(Inputs!$B$19+Inputs!$B$20)+Inputs!$B$21</f>
        <v>12032.439018001709</v>
      </c>
      <c r="L42" s="17">
        <f t="shared" si="4"/>
        <v>117948.42810690959</v>
      </c>
      <c r="M42" s="1"/>
      <c r="N42" s="1"/>
    </row>
    <row r="43" spans="1:14" ht="18" customHeight="1" x14ac:dyDescent="0.3">
      <c r="A43" s="2">
        <v>40</v>
      </c>
      <c r="B43" s="8">
        <f t="shared" si="3"/>
        <v>4</v>
      </c>
      <c r="C43" s="16">
        <f t="shared" si="5"/>
        <v>0.89999468561161489</v>
      </c>
      <c r="D43" s="5">
        <f>IF(Inputs!$B$16="Linear",MIN(Inputs!$B$14,Inputs!$B$13+(Inputs!$B$14-Inputs!$B$13)*A43/Inputs!$B$15),IF(Inputs!$B$16="S-Curve",Inputs!$B$13+(Inputs!$B$14-Inputs!$B$13)/(1+EXP(-0.25*(A43-Inputs!$B$15/2))),Inputs!$B$13+(Inputs!$B$14-Inputs!$B$13)/(1+EXP(-0.35*(A43-Inputs!$B$15/2)))))</f>
        <v>0.8999962549833479</v>
      </c>
      <c r="E43" s="5">
        <f>MIN(Inputs!$B$14,D43)</f>
        <v>0.8999962549833479</v>
      </c>
      <c r="F43" s="7">
        <f>'Unit Mix &amp; Market Comps'!$B$11*E43</f>
        <v>454.49810876659069</v>
      </c>
      <c r="G43" s="5">
        <f>MAX(0,E43-Inputs!$B$17)</f>
        <v>0.86999625498334787</v>
      </c>
      <c r="H43" s="5">
        <f>Inputs!$B$18/12</f>
        <v>4.1666666666666666E-3</v>
      </c>
      <c r="I43" s="4">
        <f>'Unit Mix &amp; Market Comps'!$E$11*(1+H43)^(A43-1)</f>
        <v>242.08024444491534</v>
      </c>
      <c r="J43" s="4">
        <f>'Unit Mix &amp; Market Comps'!$B$11*I43*G43</f>
        <v>106357.49756662751</v>
      </c>
      <c r="K43" s="4">
        <f>J43*(Inputs!$B$19+Inputs!$B$20)+Inputs!$B$21</f>
        <v>12072.174780996476</v>
      </c>
      <c r="L43" s="17">
        <f t="shared" si="4"/>
        <v>118429.67234762399</v>
      </c>
      <c r="M43" s="1"/>
      <c r="N43" s="1"/>
    </row>
    <row r="44" spans="1:14" ht="18" customHeight="1" x14ac:dyDescent="0.3">
      <c r="A44" s="2">
        <v>41</v>
      </c>
      <c r="B44" s="8">
        <f t="shared" si="3"/>
        <v>4</v>
      </c>
      <c r="C44" s="16">
        <f t="shared" si="5"/>
        <v>0.8999962549833479</v>
      </c>
      <c r="D44" s="5">
        <f>IF(Inputs!$B$16="Linear",MIN(Inputs!$B$14,Inputs!$B$13+(Inputs!$B$14-Inputs!$B$13)*A44/Inputs!$B$15),IF(Inputs!$B$16="S-Curve",Inputs!$B$13+(Inputs!$B$14-Inputs!$B$13)/(1+EXP(-0.25*(A44-Inputs!$B$15/2))),Inputs!$B$13+(Inputs!$B$14-Inputs!$B$13)/(1+EXP(-0.35*(A44-Inputs!$B$15/2)))))</f>
        <v>0.89999736091624671</v>
      </c>
      <c r="E44" s="5">
        <f>MIN(Inputs!$B$14,D44)</f>
        <v>0.89999736091624671</v>
      </c>
      <c r="F44" s="7">
        <f>'Unit Mix &amp; Market Comps'!$B$11*E44</f>
        <v>454.4986672627046</v>
      </c>
      <c r="G44" s="5">
        <f>MAX(0,E44-Inputs!$B$17)</f>
        <v>0.86999736091624669</v>
      </c>
      <c r="H44" s="5">
        <f>Inputs!$B$18/12</f>
        <v>4.1666666666666666E-3</v>
      </c>
      <c r="I44" s="4">
        <f>'Unit Mix &amp; Market Comps'!$E$11*(1+H44)^(A44-1)</f>
        <v>243.08891213010244</v>
      </c>
      <c r="J44" s="4">
        <f>'Unit Mix &amp; Market Comps'!$B$11*I44*G44</f>
        <v>106800.78957070121</v>
      </c>
      <c r="K44" s="4">
        <f>J44*(Inputs!$B$19+Inputs!$B$20)+Inputs!$B$21</f>
        <v>12112.071061363109</v>
      </c>
      <c r="L44" s="17">
        <f t="shared" si="4"/>
        <v>118912.86063206432</v>
      </c>
      <c r="M44" s="1"/>
      <c r="N44" s="1"/>
    </row>
    <row r="45" spans="1:14" ht="18" customHeight="1" x14ac:dyDescent="0.3">
      <c r="A45" s="2">
        <v>42</v>
      </c>
      <c r="B45" s="8">
        <f t="shared" si="3"/>
        <v>4</v>
      </c>
      <c r="C45" s="16">
        <f t="shared" si="5"/>
        <v>0.89999736091624671</v>
      </c>
      <c r="D45" s="5">
        <f>IF(Inputs!$B$16="Linear",MIN(Inputs!$B$14,Inputs!$B$13+(Inputs!$B$14-Inputs!$B$13)*A45/Inputs!$B$15),IF(Inputs!$B$16="S-Curve",Inputs!$B$13+(Inputs!$B$14-Inputs!$B$13)/(1+EXP(-0.25*(A45-Inputs!$B$15/2))),Inputs!$B$13+(Inputs!$B$14-Inputs!$B$13)/(1+EXP(-0.35*(A45-Inputs!$B$15/2)))))</f>
        <v>0.89999814026160152</v>
      </c>
      <c r="E45" s="5">
        <f>MIN(Inputs!$B$14,D45)</f>
        <v>0.89999814026160152</v>
      </c>
      <c r="F45" s="7">
        <f>'Unit Mix &amp; Market Comps'!$B$11*E45</f>
        <v>454.49906083210874</v>
      </c>
      <c r="G45" s="5">
        <f>MAX(0,E45-Inputs!$B$17)</f>
        <v>0.86999814026160149</v>
      </c>
      <c r="H45" s="5">
        <f>Inputs!$B$18/12</f>
        <v>4.1666666666666666E-3</v>
      </c>
      <c r="I45" s="4">
        <f>'Unit Mix &amp; Market Comps'!$E$11*(1+H45)^(A45-1)</f>
        <v>244.1017825973112</v>
      </c>
      <c r="J45" s="4">
        <f>'Unit Mix &amp; Market Comps'!$B$11*I45*G45</f>
        <v>107245.88893157226</v>
      </c>
      <c r="K45" s="4">
        <f>J45*(Inputs!$B$19+Inputs!$B$20)+Inputs!$B$21</f>
        <v>12152.130003841503</v>
      </c>
      <c r="L45" s="17">
        <f t="shared" si="4"/>
        <v>119398.01893541377</v>
      </c>
      <c r="M45" s="1"/>
      <c r="N45" s="1"/>
    </row>
    <row r="46" spans="1:14" ht="18" customHeight="1" x14ac:dyDescent="0.3">
      <c r="A46" s="2">
        <v>43</v>
      </c>
      <c r="B46" s="8">
        <f t="shared" si="3"/>
        <v>4</v>
      </c>
      <c r="C46" s="16">
        <f t="shared" si="5"/>
        <v>0.89999814026160152</v>
      </c>
      <c r="D46" s="5">
        <f>IF(Inputs!$B$16="Linear",MIN(Inputs!$B$14,Inputs!$B$13+(Inputs!$B$14-Inputs!$B$13)*A46/Inputs!$B$15),IF(Inputs!$B$16="S-Curve",Inputs!$B$13+(Inputs!$B$14-Inputs!$B$13)/(1+EXP(-0.25*(A46-Inputs!$B$15/2))),Inputs!$B$13+(Inputs!$B$14-Inputs!$B$13)/(1+EXP(-0.35*(A46-Inputs!$B$15/2)))))</f>
        <v>0.89999868946077133</v>
      </c>
      <c r="E46" s="5">
        <f>MIN(Inputs!$B$14,D46)</f>
        <v>0.89999868946077133</v>
      </c>
      <c r="F46" s="7">
        <f>'Unit Mix &amp; Market Comps'!$B$11*E46</f>
        <v>454.49933817768954</v>
      </c>
      <c r="G46" s="5">
        <f>MAX(0,E46-Inputs!$B$17)</f>
        <v>0.8699986894607713</v>
      </c>
      <c r="H46" s="5">
        <f>Inputs!$B$18/12</f>
        <v>4.1666666666666666E-3</v>
      </c>
      <c r="I46" s="4">
        <f>'Unit Mix &amp; Market Comps'!$E$11*(1+H46)^(A46-1)</f>
        <v>245.11887335813338</v>
      </c>
      <c r="J46" s="4">
        <f>'Unit Mix &amp; Market Comps'!$B$11*I46*G46</f>
        <v>107692.8147847568</v>
      </c>
      <c r="K46" s="4">
        <f>J46*(Inputs!$B$19+Inputs!$B$20)+Inputs!$B$21</f>
        <v>12192.353330628112</v>
      </c>
      <c r="L46" s="17">
        <f t="shared" si="4"/>
        <v>119885.16811538492</v>
      </c>
      <c r="M46" s="1"/>
      <c r="N46" s="1"/>
    </row>
    <row r="47" spans="1:14" ht="18" customHeight="1" x14ac:dyDescent="0.3">
      <c r="A47" s="2">
        <v>44</v>
      </c>
      <c r="B47" s="8">
        <f t="shared" si="3"/>
        <v>4</v>
      </c>
      <c r="C47" s="16">
        <f t="shared" si="5"/>
        <v>0.89999868946077133</v>
      </c>
      <c r="D47" s="5">
        <f>IF(Inputs!$B$16="Linear",MIN(Inputs!$B$14,Inputs!$B$13+(Inputs!$B$14-Inputs!$B$13)*A47/Inputs!$B$15),IF(Inputs!$B$16="S-Curve",Inputs!$B$13+(Inputs!$B$14-Inputs!$B$13)/(1+EXP(-0.25*(A47-Inputs!$B$15/2))),Inputs!$B$13+(Inputs!$B$14-Inputs!$B$13)/(1+EXP(-0.35*(A47-Inputs!$B$15/2)))))</f>
        <v>0.89999907647676247</v>
      </c>
      <c r="E47" s="5">
        <f>MIN(Inputs!$B$14,D47)</f>
        <v>0.89999907647676247</v>
      </c>
      <c r="F47" s="7">
        <f>'Unit Mix &amp; Market Comps'!$B$11*E47</f>
        <v>454.49953362076502</v>
      </c>
      <c r="G47" s="5">
        <f>MAX(0,E47-Inputs!$B$17)</f>
        <v>0.86999907647676245</v>
      </c>
      <c r="H47" s="5">
        <f>Inputs!$B$18/12</f>
        <v>4.1666666666666666E-3</v>
      </c>
      <c r="I47" s="4">
        <f>'Unit Mix &amp; Market Comps'!$E$11*(1+H47)^(A47-1)</f>
        <v>246.14020199712556</v>
      </c>
      <c r="J47" s="4">
        <f>'Unit Mix &amp; Market Comps'!$B$11*I47*G47</f>
        <v>108141.58295275801</v>
      </c>
      <c r="K47" s="4">
        <f>J47*(Inputs!$B$19+Inputs!$B$20)+Inputs!$B$21</f>
        <v>12232.742465748221</v>
      </c>
      <c r="L47" s="17">
        <f t="shared" si="4"/>
        <v>120374.32541850623</v>
      </c>
      <c r="M47" s="1"/>
      <c r="N47" s="1"/>
    </row>
    <row r="48" spans="1:14" ht="18" customHeight="1" x14ac:dyDescent="0.3">
      <c r="A48" s="2">
        <v>45</v>
      </c>
      <c r="B48" s="8">
        <f t="shared" si="3"/>
        <v>4</v>
      </c>
      <c r="C48" s="16">
        <f t="shared" si="5"/>
        <v>0.89999907647676247</v>
      </c>
      <c r="D48" s="5">
        <f>IF(Inputs!$B$16="Linear",MIN(Inputs!$B$14,Inputs!$B$13+(Inputs!$B$14-Inputs!$B$13)*A48/Inputs!$B$15),IF(Inputs!$B$16="S-Curve",Inputs!$B$13+(Inputs!$B$14-Inputs!$B$13)/(1+EXP(-0.25*(A48-Inputs!$B$15/2))),Inputs!$B$13+(Inputs!$B$14-Inputs!$B$13)/(1+EXP(-0.35*(A48-Inputs!$B$15/2)))))</f>
        <v>0.89999934920325431</v>
      </c>
      <c r="E48" s="5">
        <f>MIN(Inputs!$B$14,D48)</f>
        <v>0.89999934920325431</v>
      </c>
      <c r="F48" s="7">
        <f>'Unit Mix &amp; Market Comps'!$B$11*E48</f>
        <v>454.49967134764341</v>
      </c>
      <c r="G48" s="5">
        <f>MAX(0,E48-Inputs!$B$17)</f>
        <v>0.86999934920325428</v>
      </c>
      <c r="H48" s="5">
        <f>Inputs!$B$18/12</f>
        <v>4.1666666666666666E-3</v>
      </c>
      <c r="I48" s="4">
        <f>'Unit Mix &amp; Market Comps'!$E$11*(1+H48)^(A48-1)</f>
        <v>247.16578617211363</v>
      </c>
      <c r="J48" s="4">
        <f>'Unit Mix &amp; Market Comps'!$B$11*I48*G48</f>
        <v>108592.20692310004</v>
      </c>
      <c r="K48" s="4">
        <f>J48*(Inputs!$B$19+Inputs!$B$20)+Inputs!$B$21</f>
        <v>12273.298623079003</v>
      </c>
      <c r="L48" s="17">
        <f t="shared" si="4"/>
        <v>120865.50554617903</v>
      </c>
      <c r="M48" s="1"/>
      <c r="N48" s="1"/>
    </row>
    <row r="49" spans="1:14" ht="18" customHeight="1" x14ac:dyDescent="0.3">
      <c r="A49" s="2">
        <v>46</v>
      </c>
      <c r="B49" s="8">
        <f t="shared" si="3"/>
        <v>4</v>
      </c>
      <c r="C49" s="16">
        <f t="shared" si="5"/>
        <v>0.89999934920325431</v>
      </c>
      <c r="D49" s="5">
        <f>IF(Inputs!$B$16="Linear",MIN(Inputs!$B$14,Inputs!$B$13+(Inputs!$B$14-Inputs!$B$13)*A49/Inputs!$B$15),IF(Inputs!$B$16="S-Curve",Inputs!$B$13+(Inputs!$B$14-Inputs!$B$13)/(1+EXP(-0.25*(A49-Inputs!$B$15/2))),Inputs!$B$13+(Inputs!$B$14-Inputs!$B$13)/(1+EXP(-0.35*(A49-Inputs!$B$15/2)))))</f>
        <v>0.89999954139082783</v>
      </c>
      <c r="E49" s="5">
        <f>MIN(Inputs!$B$14,D49)</f>
        <v>0.89999954139082783</v>
      </c>
      <c r="F49" s="7">
        <f>'Unit Mix &amp; Market Comps'!$B$11*E49</f>
        <v>454.49976840236803</v>
      </c>
      <c r="G49" s="5">
        <f>MAX(0,E49-Inputs!$B$17)</f>
        <v>0.8699995413908278</v>
      </c>
      <c r="H49" s="5">
        <f>Inputs!$B$18/12</f>
        <v>4.1666666666666666E-3</v>
      </c>
      <c r="I49" s="4">
        <f>'Unit Mix &amp; Market Comps'!$E$11*(1+H49)^(A49-1)</f>
        <v>248.19564361449738</v>
      </c>
      <c r="J49" s="4">
        <f>'Unit Mix &amp; Market Comps'!$B$11*I49*G49</f>
        <v>109044.6985405061</v>
      </c>
      <c r="K49" s="4">
        <f>J49*(Inputs!$B$19+Inputs!$B$20)+Inputs!$B$21</f>
        <v>12314.022868645548</v>
      </c>
      <c r="L49" s="17">
        <f t="shared" si="4"/>
        <v>121358.72140915165</v>
      </c>
      <c r="M49" s="1"/>
      <c r="N49" s="1"/>
    </row>
    <row r="50" spans="1:14" ht="18" customHeight="1" x14ac:dyDescent="0.3">
      <c r="A50" s="2">
        <v>47</v>
      </c>
      <c r="B50" s="8">
        <f t="shared" si="3"/>
        <v>4</v>
      </c>
      <c r="C50" s="16">
        <f t="shared" si="5"/>
        <v>0.89999954139082783</v>
      </c>
      <c r="D50" s="5">
        <f>IF(Inputs!$B$16="Linear",MIN(Inputs!$B$14,Inputs!$B$13+(Inputs!$B$14-Inputs!$B$13)*A50/Inputs!$B$15),IF(Inputs!$B$16="S-Curve",Inputs!$B$13+(Inputs!$B$14-Inputs!$B$13)/(1+EXP(-0.25*(A50-Inputs!$B$15/2))),Inputs!$B$13+(Inputs!$B$14-Inputs!$B$13)/(1+EXP(-0.35*(A50-Inputs!$B$15/2)))))</f>
        <v>0.8999996768233518</v>
      </c>
      <c r="E50" s="5">
        <f>MIN(Inputs!$B$14,D50)</f>
        <v>0.8999996768233518</v>
      </c>
      <c r="F50" s="7">
        <f>'Unit Mix &amp; Market Comps'!$B$11*E50</f>
        <v>454.49983679579265</v>
      </c>
      <c r="G50" s="5">
        <f>MAX(0,E50-Inputs!$B$17)</f>
        <v>0.86999967682335178</v>
      </c>
      <c r="H50" s="5">
        <f>Inputs!$B$18/12</f>
        <v>4.1666666666666666E-3</v>
      </c>
      <c r="I50" s="4">
        <f>'Unit Mix &amp; Market Comps'!$E$11*(1+H50)^(A50-1)</f>
        <v>249.22979212955781</v>
      </c>
      <c r="J50" s="4">
        <f>'Unit Mix &amp; Market Comps'!$B$11*I50*G50</f>
        <v>109499.06849677055</v>
      </c>
      <c r="K50" s="4">
        <f>J50*(Inputs!$B$19+Inputs!$B$20)+Inputs!$B$21</f>
        <v>12354.916164709348</v>
      </c>
      <c r="L50" s="17">
        <f t="shared" si="4"/>
        <v>121853.98466147989</v>
      </c>
      <c r="M50" s="1"/>
      <c r="N50" s="1"/>
    </row>
    <row r="51" spans="1:14" ht="18" customHeight="1" x14ac:dyDescent="0.3">
      <c r="A51" s="2">
        <v>48</v>
      </c>
      <c r="B51" s="8">
        <f t="shared" si="3"/>
        <v>4</v>
      </c>
      <c r="C51" s="16">
        <f t="shared" si="5"/>
        <v>0.8999996768233518</v>
      </c>
      <c r="D51" s="5">
        <f>IF(Inputs!$B$16="Linear",MIN(Inputs!$B$14,Inputs!$B$13+(Inputs!$B$14-Inputs!$B$13)*A51/Inputs!$B$15),IF(Inputs!$B$16="S-Curve",Inputs!$B$13+(Inputs!$B$14-Inputs!$B$13)/(1+EXP(-0.25*(A51-Inputs!$B$15/2))),Inputs!$B$13+(Inputs!$B$14-Inputs!$B$13)/(1+EXP(-0.35*(A51-Inputs!$B$15/2)))))</f>
        <v>0.89999977226115258</v>
      </c>
      <c r="E51" s="5">
        <f>MIN(Inputs!$B$14,D51)</f>
        <v>0.89999977226115258</v>
      </c>
      <c r="F51" s="7">
        <f>'Unit Mix &amp; Market Comps'!$B$11*E51</f>
        <v>454.49988499188203</v>
      </c>
      <c r="G51" s="5">
        <f>MAX(0,E51-Inputs!$B$17)</f>
        <v>0.86999977226115255</v>
      </c>
      <c r="H51" s="5">
        <f>Inputs!$B$18/12</f>
        <v>4.1666666666666666E-3</v>
      </c>
      <c r="I51" s="4">
        <f>'Unit Mix &amp; Market Comps'!$E$11*(1+H51)^(A51-1)</f>
        <v>250.26824959676438</v>
      </c>
      <c r="J51" s="4">
        <f>'Unit Mix &amp; Market Comps'!$B$11*I51*G51</f>
        <v>109955.32667745806</v>
      </c>
      <c r="K51" s="4">
        <f>J51*(Inputs!$B$19+Inputs!$B$20)+Inputs!$B$21</f>
        <v>12395.979400971224</v>
      </c>
      <c r="L51" s="17">
        <f t="shared" si="4"/>
        <v>122351.30607842928</v>
      </c>
      <c r="M51" s="1"/>
      <c r="N51" s="1"/>
    </row>
    <row r="52" spans="1:14" ht="18" customHeight="1" x14ac:dyDescent="0.3">
      <c r="A52" s="2">
        <v>49</v>
      </c>
      <c r="B52" s="8">
        <f t="shared" si="3"/>
        <v>5</v>
      </c>
      <c r="C52" s="16">
        <f t="shared" si="5"/>
        <v>0.89999977226115258</v>
      </c>
      <c r="D52" s="5">
        <f>IF(Inputs!$B$16="Linear",MIN(Inputs!$B$14,Inputs!$B$13+(Inputs!$B$14-Inputs!$B$13)*A52/Inputs!$B$15),IF(Inputs!$B$16="S-Curve",Inputs!$B$13+(Inputs!$B$14-Inputs!$B$13)/(1+EXP(-0.25*(A52-Inputs!$B$15/2))),Inputs!$B$13+(Inputs!$B$14-Inputs!$B$13)/(1+EXP(-0.35*(A52-Inputs!$B$15/2)))))</f>
        <v>0.89999983951509066</v>
      </c>
      <c r="E52" s="5">
        <f>MIN(Inputs!$B$14,D52)</f>
        <v>0.89999983951509066</v>
      </c>
      <c r="F52" s="7">
        <f>'Unit Mix &amp; Market Comps'!$B$11*E52</f>
        <v>454.49991895512079</v>
      </c>
      <c r="G52" s="5">
        <f>MAX(0,E52-Inputs!$B$17)</f>
        <v>0.86999983951509063</v>
      </c>
      <c r="H52" s="5">
        <f>Inputs!$B$18/12</f>
        <v>4.1666666666666666E-3</v>
      </c>
      <c r="I52" s="4">
        <f>'Unit Mix &amp; Market Comps'!$E$11*(1+H52)^(A52-1)</f>
        <v>251.31103397008417</v>
      </c>
      <c r="J52" s="4">
        <f>'Unit Mix &amp; Market Comps'!$B$11*I52*G52</f>
        <v>110413.48240728409</v>
      </c>
      <c r="K52" s="4">
        <f>J52*(Inputs!$B$19+Inputs!$B$20)+Inputs!$B$21</f>
        <v>12437.213416655568</v>
      </c>
      <c r="L52" s="17">
        <f t="shared" si="4"/>
        <v>122850.69582393965</v>
      </c>
      <c r="M52" s="1"/>
      <c r="N52" s="1"/>
    </row>
    <row r="53" spans="1:14" ht="18" customHeight="1" x14ac:dyDescent="0.3">
      <c r="A53" s="2">
        <v>50</v>
      </c>
      <c r="B53" s="8">
        <f t="shared" si="3"/>
        <v>5</v>
      </c>
      <c r="C53" s="16">
        <f t="shared" si="5"/>
        <v>0.89999983951509066</v>
      </c>
      <c r="D53" s="5">
        <f>IF(Inputs!$B$16="Linear",MIN(Inputs!$B$14,Inputs!$B$13+(Inputs!$B$14-Inputs!$B$13)*A53/Inputs!$B$15),IF(Inputs!$B$16="S-Curve",Inputs!$B$13+(Inputs!$B$14-Inputs!$B$13)/(1+EXP(-0.25*(A53-Inputs!$B$15/2))),Inputs!$B$13+(Inputs!$B$14-Inputs!$B$13)/(1+EXP(-0.35*(A53-Inputs!$B$15/2)))))</f>
        <v>0.89999988690816801</v>
      </c>
      <c r="E53" s="5">
        <f>MIN(Inputs!$B$14,D53)</f>
        <v>0.89999988690816801</v>
      </c>
      <c r="F53" s="7">
        <f>'Unit Mix &amp; Market Comps'!$B$11*E53</f>
        <v>454.49994288862484</v>
      </c>
      <c r="G53" s="5">
        <f>MAX(0,E53-Inputs!$B$17)</f>
        <v>0.86999988690816799</v>
      </c>
      <c r="H53" s="5">
        <f>Inputs!$B$18/12</f>
        <v>4.1666666666666666E-3</v>
      </c>
      <c r="I53" s="4">
        <f>'Unit Mix &amp; Market Comps'!$E$11*(1+H53)^(A53-1)</f>
        <v>252.35816327829286</v>
      </c>
      <c r="J53" s="4">
        <f>'Unit Mix &amp; Market Comps'!$B$11*I53*G53</f>
        <v>110873.54462379623</v>
      </c>
      <c r="K53" s="4">
        <f>J53*(Inputs!$B$19+Inputs!$B$20)+Inputs!$B$21</f>
        <v>12478.61901614166</v>
      </c>
      <c r="L53" s="17">
        <f t="shared" si="4"/>
        <v>123352.16363993789</v>
      </c>
      <c r="M53" s="1"/>
      <c r="N53" s="1"/>
    </row>
    <row r="54" spans="1:14" ht="18" customHeight="1" x14ac:dyDescent="0.3">
      <c r="A54" s="2">
        <v>51</v>
      </c>
      <c r="B54" s="8">
        <f t="shared" si="3"/>
        <v>5</v>
      </c>
      <c r="C54" s="16">
        <f t="shared" si="5"/>
        <v>0.89999988690816801</v>
      </c>
      <c r="D54" s="5">
        <f>IF(Inputs!$B$16="Linear",MIN(Inputs!$B$14,Inputs!$B$13+(Inputs!$B$14-Inputs!$B$13)*A54/Inputs!$B$15),IF(Inputs!$B$16="S-Curve",Inputs!$B$13+(Inputs!$B$14-Inputs!$B$13)/(1+EXP(-0.25*(A54-Inputs!$B$15/2))),Inputs!$B$13+(Inputs!$B$14-Inputs!$B$13)/(1+EXP(-0.35*(A54-Inputs!$B$15/2)))))</f>
        <v>0.89999992030551923</v>
      </c>
      <c r="E54" s="5">
        <f>MIN(Inputs!$B$14,D54)</f>
        <v>0.89999992030551923</v>
      </c>
      <c r="F54" s="7">
        <f>'Unit Mix &amp; Market Comps'!$B$11*E54</f>
        <v>454.4999597542872</v>
      </c>
      <c r="G54" s="5">
        <f>MAX(0,E54-Inputs!$B$17)</f>
        <v>0.8699999203055192</v>
      </c>
      <c r="H54" s="5">
        <f>Inputs!$B$18/12</f>
        <v>4.1666666666666666E-3</v>
      </c>
      <c r="I54" s="4">
        <f>'Unit Mix &amp; Market Comps'!$E$11*(1+H54)^(A54-1)</f>
        <v>253.40965562528572</v>
      </c>
      <c r="J54" s="4">
        <f>'Unit Mix &amp; Market Comps'!$B$11*I54*G54</f>
        <v>111335.52200031707</v>
      </c>
      <c r="K54" s="4">
        <f>J54*(Inputs!$B$19+Inputs!$B$20)+Inputs!$B$21</f>
        <v>12520.196980028535</v>
      </c>
      <c r="L54" s="17">
        <f t="shared" si="4"/>
        <v>123855.7189803456</v>
      </c>
      <c r="M54" s="1"/>
      <c r="N54" s="1"/>
    </row>
    <row r="55" spans="1:14" ht="18" customHeight="1" x14ac:dyDescent="0.3">
      <c r="A55" s="2">
        <v>52</v>
      </c>
      <c r="B55" s="8">
        <f t="shared" si="3"/>
        <v>5</v>
      </c>
      <c r="C55" s="16">
        <f t="shared" si="5"/>
        <v>0.89999992030551923</v>
      </c>
      <c r="D55" s="5">
        <f>IF(Inputs!$B$16="Linear",MIN(Inputs!$B$14,Inputs!$B$13+(Inputs!$B$14-Inputs!$B$13)*A55/Inputs!$B$15),IF(Inputs!$B$16="S-Curve",Inputs!$B$13+(Inputs!$B$14-Inputs!$B$13)/(1+EXP(-0.25*(A55-Inputs!$B$15/2))),Inputs!$B$13+(Inputs!$B$14-Inputs!$B$13)/(1+EXP(-0.35*(A55-Inputs!$B$15/2)))))</f>
        <v>0.89999994384024173</v>
      </c>
      <c r="E55" s="5">
        <f>MIN(Inputs!$B$14,D55)</f>
        <v>0.89999994384024173</v>
      </c>
      <c r="F55" s="7">
        <f>'Unit Mix &amp; Market Comps'!$B$11*E55</f>
        <v>454.4999716393221</v>
      </c>
      <c r="G55" s="5">
        <f>MAX(0,E55-Inputs!$B$17)</f>
        <v>0.86999994384024171</v>
      </c>
      <c r="H55" s="5">
        <f>Inputs!$B$18/12</f>
        <v>4.1666666666666666E-3</v>
      </c>
      <c r="I55" s="4">
        <f>'Unit Mix &amp; Market Comps'!$E$11*(1+H55)^(A55-1)</f>
        <v>254.46552919039112</v>
      </c>
      <c r="J55" s="4">
        <f>'Unit Mix &amp; Market Comps'!$B$11*I55*G55</f>
        <v>111799.42303298342</v>
      </c>
      <c r="K55" s="4">
        <f>J55*(Inputs!$B$19+Inputs!$B$20)+Inputs!$B$21</f>
        <v>12561.948072968507</v>
      </c>
      <c r="L55" s="17">
        <f t="shared" si="4"/>
        <v>124361.37110595193</v>
      </c>
      <c r="M55" s="1"/>
      <c r="N55" s="1"/>
    </row>
    <row r="56" spans="1:14" ht="18" customHeight="1" x14ac:dyDescent="0.3">
      <c r="A56" s="2">
        <v>53</v>
      </c>
      <c r="B56" s="8">
        <f t="shared" si="3"/>
        <v>5</v>
      </c>
      <c r="C56" s="16">
        <f t="shared" si="5"/>
        <v>0.89999994384024173</v>
      </c>
      <c r="D56" s="5">
        <f>IF(Inputs!$B$16="Linear",MIN(Inputs!$B$14,Inputs!$B$13+(Inputs!$B$14-Inputs!$B$13)*A56/Inputs!$B$15),IF(Inputs!$B$16="S-Curve",Inputs!$B$13+(Inputs!$B$14-Inputs!$B$13)/(1+EXP(-0.25*(A56-Inputs!$B$15/2))),Inputs!$B$13+(Inputs!$B$14-Inputs!$B$13)/(1+EXP(-0.35*(A56-Inputs!$B$15/2)))))</f>
        <v>0.89999996042488384</v>
      </c>
      <c r="E56" s="5">
        <f>MIN(Inputs!$B$14,D56)</f>
        <v>0.89999996042488384</v>
      </c>
      <c r="F56" s="7">
        <f>'Unit Mix &amp; Market Comps'!$B$11*E56</f>
        <v>454.49998001456635</v>
      </c>
      <c r="G56" s="5">
        <f>MAX(0,E56-Inputs!$B$17)</f>
        <v>0.86999996042488381</v>
      </c>
      <c r="H56" s="5">
        <f>Inputs!$B$18/12</f>
        <v>4.1666666666666666E-3</v>
      </c>
      <c r="I56" s="4">
        <f>'Unit Mix &amp; Market Comps'!$E$11*(1+H56)^(A56-1)</f>
        <v>255.52580222868446</v>
      </c>
      <c r="J56" s="4">
        <f>'Unit Mix &amp; Market Comps'!$B$11*I56*G56</f>
        <v>112265.25610237854</v>
      </c>
      <c r="K56" s="4">
        <f>J56*(Inputs!$B$19+Inputs!$B$20)+Inputs!$B$21</f>
        <v>12603.873049214068</v>
      </c>
      <c r="L56" s="17">
        <f t="shared" si="4"/>
        <v>124869.12915159261</v>
      </c>
      <c r="M56" s="1"/>
      <c r="N56" s="1"/>
    </row>
    <row r="57" spans="1:14" ht="18" customHeight="1" x14ac:dyDescent="0.3">
      <c r="A57" s="2">
        <v>54</v>
      </c>
      <c r="B57" s="8">
        <f t="shared" si="3"/>
        <v>5</v>
      </c>
      <c r="C57" s="16">
        <f t="shared" si="5"/>
        <v>0.89999996042488384</v>
      </c>
      <c r="D57" s="5">
        <f>IF(Inputs!$B$16="Linear",MIN(Inputs!$B$14,Inputs!$B$13+(Inputs!$B$14-Inputs!$B$13)*A57/Inputs!$B$15),IF(Inputs!$B$16="S-Curve",Inputs!$B$13+(Inputs!$B$14-Inputs!$B$13)/(1+EXP(-0.25*(A57-Inputs!$B$15/2))),Inputs!$B$13+(Inputs!$B$14-Inputs!$B$13)/(1+EXP(-0.35*(A57-Inputs!$B$15/2)))))</f>
        <v>0.89999997211188532</v>
      </c>
      <c r="E57" s="5">
        <f>MIN(Inputs!$B$14,D57)</f>
        <v>0.89999997211188532</v>
      </c>
      <c r="F57" s="7">
        <f>'Unit Mix &amp; Market Comps'!$B$11*E57</f>
        <v>454.49998591650211</v>
      </c>
      <c r="G57" s="5">
        <f>MAX(0,E57-Inputs!$B$17)</f>
        <v>0.86999997211188529</v>
      </c>
      <c r="H57" s="5">
        <f>Inputs!$B$18/12</f>
        <v>4.1666666666666666E-3</v>
      </c>
      <c r="I57" s="4">
        <f>'Unit Mix &amp; Market Comps'!$E$11*(1+H57)^(A57-1)</f>
        <v>256.59049307130397</v>
      </c>
      <c r="J57" s="4">
        <f>'Unit Mix &amp; Market Comps'!$B$11*I57*G57</f>
        <v>112733.02951718571</v>
      </c>
      <c r="K57" s="4">
        <f>J57*(Inputs!$B$19+Inputs!$B$20)+Inputs!$B$21</f>
        <v>12645.972656546714</v>
      </c>
      <c r="L57" s="17">
        <f t="shared" si="4"/>
        <v>125379.00217373243</v>
      </c>
      <c r="M57" s="1"/>
      <c r="N57" s="1"/>
    </row>
    <row r="58" spans="1:14" ht="18" customHeight="1" x14ac:dyDescent="0.3">
      <c r="A58" s="2">
        <v>55</v>
      </c>
      <c r="B58" s="8">
        <f t="shared" si="3"/>
        <v>5</v>
      </c>
      <c r="C58" s="16">
        <f t="shared" si="5"/>
        <v>0.89999997211188532</v>
      </c>
      <c r="D58" s="5">
        <f>IF(Inputs!$B$16="Linear",MIN(Inputs!$B$14,Inputs!$B$13+(Inputs!$B$14-Inputs!$B$13)*A58/Inputs!$B$15),IF(Inputs!$B$16="S-Curve",Inputs!$B$13+(Inputs!$B$14-Inputs!$B$13)/(1+EXP(-0.25*(A58-Inputs!$B$15/2))),Inputs!$B$13+(Inputs!$B$14-Inputs!$B$13)/(1+EXP(-0.35*(A58-Inputs!$B$15/2)))))</f>
        <v>0.89999998034757689</v>
      </c>
      <c r="E58" s="5">
        <f>MIN(Inputs!$B$14,D58)</f>
        <v>0.89999998034757689</v>
      </c>
      <c r="F58" s="7">
        <f>'Unit Mix &amp; Market Comps'!$B$11*E58</f>
        <v>454.49999007552634</v>
      </c>
      <c r="G58" s="5">
        <f>MAX(0,E58-Inputs!$B$17)</f>
        <v>0.86999998034757686</v>
      </c>
      <c r="H58" s="5">
        <f>Inputs!$B$18/12</f>
        <v>4.1666666666666666E-3</v>
      </c>
      <c r="I58" s="4">
        <f>'Unit Mix &amp; Market Comps'!$E$11*(1+H58)^(A58-1)</f>
        <v>257.65962012576773</v>
      </c>
      <c r="J58" s="4">
        <f>'Unit Mix &amp; Market Comps'!$B$11*I58*G58</f>
        <v>113202.75154511993</v>
      </c>
      <c r="K58" s="4">
        <f>J58*(Inputs!$B$19+Inputs!$B$20)+Inputs!$B$21</f>
        <v>12688.247639060794</v>
      </c>
      <c r="L58" s="17">
        <f t="shared" si="4"/>
        <v>125890.99918418072</v>
      </c>
      <c r="M58" s="1"/>
      <c r="N58" s="1"/>
    </row>
    <row r="59" spans="1:14" ht="18" customHeight="1" x14ac:dyDescent="0.3">
      <c r="A59" s="2">
        <v>56</v>
      </c>
      <c r="B59" s="8">
        <f t="shared" si="3"/>
        <v>5</v>
      </c>
      <c r="C59" s="16">
        <f t="shared" si="5"/>
        <v>0.89999998034757689</v>
      </c>
      <c r="D59" s="5">
        <f>IF(Inputs!$B$16="Linear",MIN(Inputs!$B$14,Inputs!$B$13+(Inputs!$B$14-Inputs!$B$13)*A59/Inputs!$B$15),IF(Inputs!$B$16="S-Curve",Inputs!$B$13+(Inputs!$B$14-Inputs!$B$13)/(1+EXP(-0.25*(A59-Inputs!$B$15/2))),Inputs!$B$13+(Inputs!$B$14-Inputs!$B$13)/(1+EXP(-0.35*(A59-Inputs!$B$15/2)))))</f>
        <v>0.89999998615117105</v>
      </c>
      <c r="E59" s="5">
        <f>MIN(Inputs!$B$14,D59)</f>
        <v>0.89999998615117105</v>
      </c>
      <c r="F59" s="7">
        <f>'Unit Mix &amp; Market Comps'!$B$11*E59</f>
        <v>454.49999300634136</v>
      </c>
      <c r="G59" s="5">
        <f>MAX(0,E59-Inputs!$B$17)</f>
        <v>0.86999998615117102</v>
      </c>
      <c r="H59" s="5">
        <f>Inputs!$B$18/12</f>
        <v>4.1666666666666666E-3</v>
      </c>
      <c r="I59" s="4">
        <f>'Unit Mix &amp; Market Comps'!$E$11*(1+H59)^(A59-1)</f>
        <v>258.73320187629179</v>
      </c>
      <c r="J59" s="4">
        <f>'Unit Mix &amp; Market Comps'!$B$11*I59*G59</f>
        <v>113674.43043485712</v>
      </c>
      <c r="K59" s="4">
        <f>J59*(Inputs!$B$19+Inputs!$B$20)+Inputs!$B$21</f>
        <v>12730.69873913714</v>
      </c>
      <c r="L59" s="17">
        <f t="shared" si="4"/>
        <v>126405.12917399425</v>
      </c>
      <c r="M59" s="1"/>
      <c r="N59" s="1"/>
    </row>
    <row r="60" spans="1:14" ht="18" customHeight="1" x14ac:dyDescent="0.3">
      <c r="A60" s="2">
        <v>57</v>
      </c>
      <c r="B60" s="8">
        <f t="shared" si="3"/>
        <v>5</v>
      </c>
      <c r="C60" s="16">
        <f t="shared" si="5"/>
        <v>0.89999998615117105</v>
      </c>
      <c r="D60" s="5">
        <f>IF(Inputs!$B$16="Linear",MIN(Inputs!$B$14,Inputs!$B$13+(Inputs!$B$14-Inputs!$B$13)*A60/Inputs!$B$15),IF(Inputs!$B$16="S-Curve",Inputs!$B$13+(Inputs!$B$14-Inputs!$B$13)/(1+EXP(-0.25*(A60-Inputs!$B$15/2))),Inputs!$B$13+(Inputs!$B$14-Inputs!$B$13)/(1+EXP(-0.35*(A60-Inputs!$B$15/2)))))</f>
        <v>0.89999999024089505</v>
      </c>
      <c r="E60" s="5">
        <f>MIN(Inputs!$B$14,D60)</f>
        <v>0.89999999024089505</v>
      </c>
      <c r="F60" s="7">
        <f>'Unit Mix &amp; Market Comps'!$B$11*E60</f>
        <v>454.49999507165199</v>
      </c>
      <c r="G60" s="5">
        <f>MAX(0,E60-Inputs!$B$17)</f>
        <v>0.86999999024089503</v>
      </c>
      <c r="H60" s="5">
        <f>Inputs!$B$18/12</f>
        <v>4.1666666666666666E-3</v>
      </c>
      <c r="I60" s="4">
        <f>'Unit Mix &amp; Market Comps'!$E$11*(1+H60)^(A60-1)</f>
        <v>259.81125688410964</v>
      </c>
      <c r="J60" s="4">
        <f>'Unit Mix &amp; Market Comps'!$B$11*I60*G60</f>
        <v>114148.07443159327</v>
      </c>
      <c r="K60" s="4">
        <f>J60*(Inputs!$B$19+Inputs!$B$20)+Inputs!$B$21</f>
        <v>12773.326698843393</v>
      </c>
      <c r="L60" s="17">
        <f t="shared" si="4"/>
        <v>126921.40113043666</v>
      </c>
      <c r="M60" s="1"/>
      <c r="N60" s="1"/>
    </row>
    <row r="61" spans="1:14" ht="18" customHeight="1" x14ac:dyDescent="0.3">
      <c r="A61" s="2">
        <v>58</v>
      </c>
      <c r="B61" s="8">
        <f t="shared" si="3"/>
        <v>5</v>
      </c>
      <c r="C61" s="16">
        <f t="shared" si="5"/>
        <v>0.89999999024089505</v>
      </c>
      <c r="D61" s="5">
        <f>IF(Inputs!$B$16="Linear",MIN(Inputs!$B$14,Inputs!$B$13+(Inputs!$B$14-Inputs!$B$13)*A61/Inputs!$B$15),IF(Inputs!$B$16="S-Curve",Inputs!$B$13+(Inputs!$B$14-Inputs!$B$13)/(1+EXP(-0.25*(A61-Inputs!$B$15/2))),Inputs!$B$13+(Inputs!$B$14-Inputs!$B$13)/(1+EXP(-0.35*(A61-Inputs!$B$15/2)))))</f>
        <v>0.89999999312287482</v>
      </c>
      <c r="E61" s="5">
        <f>MIN(Inputs!$B$14,D61)</f>
        <v>0.89999999312287482</v>
      </c>
      <c r="F61" s="7">
        <f>'Unit Mix &amp; Market Comps'!$B$11*E61</f>
        <v>454.49999652705179</v>
      </c>
      <c r="G61" s="5">
        <f>MAX(0,E61-Inputs!$B$17)</f>
        <v>0.86999999312287479</v>
      </c>
      <c r="H61" s="5">
        <f>Inputs!$B$18/12</f>
        <v>4.1666666666666666E-3</v>
      </c>
      <c r="I61" s="4">
        <f>'Unit Mix &amp; Market Comps'!$E$11*(1+H61)^(A61-1)</f>
        <v>260.89380378779339</v>
      </c>
      <c r="J61" s="4">
        <f>'Unit Mix &amp; Market Comps'!$B$11*I61*G61</f>
        <v>114623.69178809636</v>
      </c>
      <c r="K61" s="4">
        <f>J61*(Inputs!$B$19+Inputs!$B$20)+Inputs!$B$21</f>
        <v>12816.132260928673</v>
      </c>
      <c r="L61" s="17">
        <f t="shared" si="4"/>
        <v>127439.82404902503</v>
      </c>
      <c r="M61" s="1"/>
      <c r="N61" s="1"/>
    </row>
    <row r="62" spans="1:14" ht="18" customHeight="1" x14ac:dyDescent="0.3">
      <c r="A62" s="2">
        <v>59</v>
      </c>
      <c r="B62" s="8">
        <f t="shared" si="3"/>
        <v>5</v>
      </c>
      <c r="C62" s="16">
        <f t="shared" si="5"/>
        <v>0.89999999312287482</v>
      </c>
      <c r="D62" s="5">
        <f>IF(Inputs!$B$16="Linear",MIN(Inputs!$B$14,Inputs!$B$13+(Inputs!$B$14-Inputs!$B$13)*A62/Inputs!$B$15),IF(Inputs!$B$16="S-Curve",Inputs!$B$13+(Inputs!$B$14-Inputs!$B$13)/(1+EXP(-0.25*(A62-Inputs!$B$15/2))),Inputs!$B$13+(Inputs!$B$14-Inputs!$B$13)/(1+EXP(-0.35*(A62-Inputs!$B$15/2)))))</f>
        <v>0.89999999515377183</v>
      </c>
      <c r="E62" s="5">
        <f>MIN(Inputs!$B$14,D62)</f>
        <v>0.89999999515377183</v>
      </c>
      <c r="F62" s="7">
        <f>'Unit Mix &amp; Market Comps'!$B$11*E62</f>
        <v>454.49999755265475</v>
      </c>
      <c r="G62" s="5">
        <f>MAX(0,E62-Inputs!$B$17)</f>
        <v>0.8699999951537718</v>
      </c>
      <c r="H62" s="5">
        <f>Inputs!$B$18/12</f>
        <v>4.1666666666666666E-3</v>
      </c>
      <c r="I62" s="4">
        <f>'Unit Mix &amp; Market Comps'!$E$11*(1+H62)^(A62-1)</f>
        <v>261.98086130357592</v>
      </c>
      <c r="J62" s="4">
        <f>'Unit Mix &amp; Market Comps'!$B$11*I62*G62</f>
        <v>115101.29077256846</v>
      </c>
      <c r="K62" s="4">
        <f>J62*(Inputs!$B$19+Inputs!$B$20)+Inputs!$B$21</f>
        <v>12859.116169531162</v>
      </c>
      <c r="L62" s="17">
        <f t="shared" si="4"/>
        <v>127960.40694209962</v>
      </c>
      <c r="M62" s="1"/>
      <c r="N62" s="1"/>
    </row>
    <row r="63" spans="1:14" ht="18" customHeight="1" x14ac:dyDescent="0.3">
      <c r="A63" s="2">
        <v>60</v>
      </c>
      <c r="B63" s="8">
        <f t="shared" si="3"/>
        <v>5</v>
      </c>
      <c r="C63" s="16">
        <f t="shared" si="5"/>
        <v>0.89999999515377183</v>
      </c>
      <c r="D63" s="5">
        <f>IF(Inputs!$B$16="Linear",MIN(Inputs!$B$14,Inputs!$B$13+(Inputs!$B$14-Inputs!$B$13)*A63/Inputs!$B$15),IF(Inputs!$B$16="S-Curve",Inputs!$B$13+(Inputs!$B$14-Inputs!$B$13)/(1+EXP(-0.25*(A63-Inputs!$B$15/2))),Inputs!$B$13+(Inputs!$B$14-Inputs!$B$13)/(1+EXP(-0.35*(A63-Inputs!$B$15/2)))))</f>
        <v>0.89999999658492069</v>
      </c>
      <c r="E63" s="5">
        <f>MIN(Inputs!$B$14,D63)</f>
        <v>0.89999999658492069</v>
      </c>
      <c r="F63" s="7">
        <f>'Unit Mix &amp; Market Comps'!$B$11*E63</f>
        <v>454.49999827538494</v>
      </c>
      <c r="G63" s="5">
        <f>MAX(0,E63-Inputs!$B$17)</f>
        <v>0.86999999658492067</v>
      </c>
      <c r="H63" s="5">
        <f>Inputs!$B$18/12</f>
        <v>4.1666666666666666E-3</v>
      </c>
      <c r="I63" s="4">
        <f>'Unit Mix &amp; Market Comps'!$E$11*(1+H63)^(A63-1)</f>
        <v>263.07244822567412</v>
      </c>
      <c r="J63" s="4">
        <f>'Unit Mix &amp; Market Comps'!$B$11*I63*G63</f>
        <v>115580.87967425121</v>
      </c>
      <c r="K63" s="4">
        <f>J63*(Inputs!$B$19+Inputs!$B$20)+Inputs!$B$21</f>
        <v>12902.279170682608</v>
      </c>
      <c r="L63" s="17">
        <f t="shared" si="4"/>
        <v>128483.15884493382</v>
      </c>
      <c r="M63" s="1"/>
      <c r="N63" s="1"/>
    </row>
    <row r="64" spans="1:1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1">
    <mergeCell ref="A1:N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9"/>
  <sheetViews>
    <sheetView showGridLines="0" workbookViewId="0">
      <selection sqref="A1:J1"/>
    </sheetView>
  </sheetViews>
  <sheetFormatPr defaultRowHeight="14.4" x14ac:dyDescent="0.3"/>
  <cols>
    <col min="1" max="1" width="4.6640625" customWidth="1"/>
    <col min="2" max="2" width="17.21875" customWidth="1"/>
    <col min="3" max="3" width="14.21875" customWidth="1"/>
    <col min="4" max="4" width="15.109375" customWidth="1"/>
    <col min="5" max="5" width="17.5546875" customWidth="1"/>
    <col min="6" max="6" width="9.88671875" customWidth="1"/>
    <col min="7" max="7" width="10.44140625" customWidth="1"/>
    <col min="8" max="29" width="15" customWidth="1"/>
  </cols>
  <sheetData>
    <row r="1" spans="1:10" ht="18" customHeight="1" x14ac:dyDescent="0.35">
      <c r="A1" s="56" t="s">
        <v>156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3">
      <c r="A3" s="14" t="s">
        <v>145</v>
      </c>
      <c r="B3" s="15" t="s">
        <v>157</v>
      </c>
      <c r="C3" s="15" t="s">
        <v>153</v>
      </c>
      <c r="D3" s="15" t="s">
        <v>154</v>
      </c>
      <c r="E3" s="15" t="s">
        <v>158</v>
      </c>
      <c r="F3" s="15" t="s">
        <v>155</v>
      </c>
      <c r="G3" s="15" t="s">
        <v>159</v>
      </c>
      <c r="H3" s="1"/>
      <c r="I3" s="1"/>
      <c r="J3" s="1"/>
    </row>
    <row r="4" spans="1:10" ht="18" customHeight="1" x14ac:dyDescent="0.3">
      <c r="A4" s="2">
        <v>1</v>
      </c>
      <c r="B4" s="5">
        <f>AVERAGE('Monthly Lease-Up'!G4:G15)</f>
        <v>0.74280854259667095</v>
      </c>
      <c r="C4" s="4">
        <f>SUM('Monthly Lease-Up'!J4:J15)</f>
        <v>948907.44124291593</v>
      </c>
      <c r="D4" s="4">
        <f>SUM('Monthly Lease-Up'!K4:K15)</f>
        <v>115401.66971186243</v>
      </c>
      <c r="E4" s="4">
        <f>SUM('Expansion CapEx'!E17:E28)</f>
        <v>0</v>
      </c>
      <c r="F4" s="17">
        <f>C4+D4+E4</f>
        <v>1064309.1109547783</v>
      </c>
      <c r="G4" s="23" t="s">
        <v>160</v>
      </c>
      <c r="H4" s="1"/>
      <c r="I4" s="1"/>
      <c r="J4" s="1"/>
    </row>
    <row r="5" spans="1:10" ht="18" customHeight="1" x14ac:dyDescent="0.3">
      <c r="A5" s="2">
        <v>2</v>
      </c>
      <c r="B5" s="5">
        <f>AVERAGE('Monthly Lease-Up'!G16:G27)</f>
        <v>0.85840705108018966</v>
      </c>
      <c r="C5" s="4">
        <f>SUM('Monthly Lease-Up'!J16:J27)</f>
        <v>1151917.8496035438</v>
      </c>
      <c r="D5" s="4">
        <f>SUM('Monthly Lease-Up'!K16:K27)</f>
        <v>133672.60646431893</v>
      </c>
      <c r="E5" s="4">
        <f>SUM('Expansion CapEx'!E29:E40)</f>
        <v>0</v>
      </c>
      <c r="F5" s="17">
        <f>C5+D5+E5</f>
        <v>1285590.4560678627</v>
      </c>
      <c r="G5" s="16">
        <f>F5/F4-1</f>
        <v>0.20791078722851086</v>
      </c>
      <c r="H5" s="1"/>
      <c r="I5" s="1"/>
      <c r="J5" s="1"/>
    </row>
    <row r="6" spans="1:10" ht="18" customHeight="1" x14ac:dyDescent="0.3">
      <c r="A6" s="2">
        <v>3</v>
      </c>
      <c r="B6" s="5">
        <f>AVERAGE('Monthly Lease-Up'!G28:G39)</f>
        <v>0.86980206178408714</v>
      </c>
      <c r="C6" s="4">
        <f>SUM('Monthly Lease-Up'!J28:J39)</f>
        <v>1226714.1781293245</v>
      </c>
      <c r="D6" s="4">
        <f>SUM('Monthly Lease-Up'!K28:K39)</f>
        <v>140404.27603163919</v>
      </c>
      <c r="E6" s="4">
        <f>SUM('Expansion CapEx'!E41:E52)</f>
        <v>127050</v>
      </c>
      <c r="F6" s="17">
        <f>C6+D6+E6</f>
        <v>1494168.4541609637</v>
      </c>
      <c r="G6" s="16">
        <f>F6/F5-1</f>
        <v>0.16224295778537634</v>
      </c>
      <c r="H6" s="1"/>
      <c r="I6" s="1"/>
      <c r="J6" s="1"/>
    </row>
    <row r="7" spans="1:10" ht="18" customHeight="1" x14ac:dyDescent="0.3">
      <c r="A7" s="2">
        <v>4</v>
      </c>
      <c r="B7" s="5">
        <f>AVERAGE('Monthly Lease-Up'!G40:G51)</f>
        <v>0.86999702536954848</v>
      </c>
      <c r="C7" s="4">
        <f>SUM('Monthly Lease-Up'!J40:J51)</f>
        <v>1289760.288587922</v>
      </c>
      <c r="D7" s="4">
        <f>SUM('Monthly Lease-Up'!K40:K51)</f>
        <v>146078.42597291298</v>
      </c>
      <c r="E7" s="4">
        <f>SUM('Expansion CapEx'!E53:E64)</f>
        <v>277200</v>
      </c>
      <c r="F7" s="17">
        <f>C7+D7+E7</f>
        <v>1713038.7145608349</v>
      </c>
      <c r="G7" s="16">
        <f>F7/F6-1</f>
        <v>0.14648298844106966</v>
      </c>
      <c r="H7" s="1"/>
      <c r="I7" s="1"/>
      <c r="J7" s="1"/>
    </row>
    <row r="8" spans="1:10" ht="18" customHeight="1" x14ac:dyDescent="0.3">
      <c r="A8" s="2">
        <v>5</v>
      </c>
      <c r="B8" s="5">
        <f>AVERAGE('Monthly Lease-Up'!G52:G63)</f>
        <v>0.86999995539224984</v>
      </c>
      <c r="C8" s="4">
        <f>SUM('Monthly Lease-Up'!J52:J63)</f>
        <v>1355751.3763304316</v>
      </c>
      <c r="D8" s="4">
        <f>SUM('Monthly Lease-Up'!K52:K63)</f>
        <v>152017.6238697388</v>
      </c>
      <c r="E8" s="4">
        <f>SUM('Expansion CapEx'!E65:E76)</f>
        <v>277200</v>
      </c>
      <c r="F8" s="17">
        <f>C8+D8+E8</f>
        <v>1784969.0002001703</v>
      </c>
      <c r="G8" s="16">
        <f>F8/F7-1</f>
        <v>4.1989877419539745E-2</v>
      </c>
      <c r="H8" s="1"/>
      <c r="I8" s="1"/>
      <c r="J8" s="1"/>
    </row>
    <row r="9" spans="1:10" ht="18" customHeight="1" x14ac:dyDescent="0.3"/>
    <row r="10" spans="1:10" ht="18" customHeight="1" x14ac:dyDescent="0.3"/>
    <row r="11" spans="1:10" ht="18" customHeight="1" x14ac:dyDescent="0.3"/>
    <row r="12" spans="1:10" ht="18" customHeight="1" x14ac:dyDescent="0.3"/>
    <row r="13" spans="1:10" ht="18" customHeight="1" x14ac:dyDescent="0.3"/>
    <row r="14" spans="1:10" ht="18" customHeight="1" x14ac:dyDescent="0.3"/>
    <row r="15" spans="1:10" ht="18" customHeight="1" x14ac:dyDescent="0.3"/>
    <row r="16" spans="1:10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9"/>
  <sheetViews>
    <sheetView showGridLines="0" workbookViewId="0"/>
  </sheetViews>
  <sheetFormatPr defaultRowHeight="14.4" x14ac:dyDescent="0.3"/>
  <cols>
    <col min="1" max="1" width="34" customWidth="1"/>
    <col min="2" max="29" width="15" customWidth="1"/>
  </cols>
  <sheetData>
    <row r="1" spans="1:10" ht="18" customHeight="1" x14ac:dyDescent="0.35">
      <c r="A1" s="56" t="s">
        <v>161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3">
      <c r="A3" s="2"/>
      <c r="B3" s="1"/>
      <c r="C3" s="1"/>
      <c r="D3" s="1"/>
      <c r="E3" s="1"/>
      <c r="F3" s="1"/>
      <c r="G3" s="1"/>
      <c r="H3" s="1"/>
      <c r="I3" s="1"/>
      <c r="J3" s="1"/>
    </row>
    <row r="4" spans="1:10" ht="18" customHeight="1" x14ac:dyDescent="0.3">
      <c r="A4" s="14" t="s">
        <v>162</v>
      </c>
      <c r="B4" s="15" t="s">
        <v>163</v>
      </c>
      <c r="C4" s="15" t="s">
        <v>164</v>
      </c>
      <c r="D4" s="15" t="s">
        <v>165</v>
      </c>
      <c r="E4" s="15" t="s">
        <v>166</v>
      </c>
      <c r="F4" s="15" t="s">
        <v>167</v>
      </c>
      <c r="G4" s="15" t="s">
        <v>168</v>
      </c>
      <c r="H4" s="1"/>
      <c r="I4" s="1"/>
      <c r="J4" s="1"/>
    </row>
    <row r="5" spans="1:10" ht="18" customHeight="1" x14ac:dyDescent="0.3">
      <c r="A5" s="2" t="s">
        <v>169</v>
      </c>
      <c r="B5" s="9">
        <v>130000</v>
      </c>
      <c r="C5" s="4">
        <f>B5*(1+Inputs!$B$22)^1</f>
        <v>133250</v>
      </c>
      <c r="D5" s="4">
        <f>B5*(1+Inputs!$B$22)^2</f>
        <v>136581.25</v>
      </c>
      <c r="E5" s="4">
        <f>B5*(1+Inputs!$B$22)^3</f>
        <v>139995.78124999997</v>
      </c>
      <c r="F5" s="4">
        <f>B5*(1+Inputs!$B$22)^4</f>
        <v>143495.67578124997</v>
      </c>
      <c r="G5" s="5">
        <f>B5/'Revenue Forecast'!$F$4</f>
        <v>0.12214496583927449</v>
      </c>
      <c r="H5" s="1"/>
      <c r="I5" s="1"/>
      <c r="J5" s="1"/>
    </row>
    <row r="6" spans="1:10" ht="18" customHeight="1" x14ac:dyDescent="0.3">
      <c r="A6" s="2" t="s">
        <v>170</v>
      </c>
      <c r="B6" s="9">
        <v>45000</v>
      </c>
      <c r="C6" s="4">
        <f>B6*(1+Inputs!$B$22)^1</f>
        <v>46124.999999999993</v>
      </c>
      <c r="D6" s="4">
        <f>B6*(1+Inputs!$B$22)^2</f>
        <v>47278.125</v>
      </c>
      <c r="E6" s="4">
        <f>B6*(1+Inputs!$B$22)^3</f>
        <v>48460.078124999993</v>
      </c>
      <c r="F6" s="4">
        <f>B6*(1+Inputs!$B$22)^4</f>
        <v>49671.580078124993</v>
      </c>
      <c r="G6" s="5">
        <f>B6/'Revenue Forecast'!$F$4</f>
        <v>4.2280949713595015E-2</v>
      </c>
      <c r="H6" s="1"/>
      <c r="I6" s="1"/>
      <c r="J6" s="1"/>
    </row>
    <row r="7" spans="1:10" ht="18" customHeight="1" x14ac:dyDescent="0.3">
      <c r="A7" s="2" t="s">
        <v>171</v>
      </c>
      <c r="B7" s="9">
        <v>60000</v>
      </c>
      <c r="C7" s="4">
        <f>B7*(1+Inputs!$B$22)^1</f>
        <v>61499.999999999993</v>
      </c>
      <c r="D7" s="4">
        <f>B7*(1+Inputs!$B$22)^2</f>
        <v>63037.499999999993</v>
      </c>
      <c r="E7" s="4">
        <f>B7*(1+Inputs!$B$22)^3</f>
        <v>64613.437499999993</v>
      </c>
      <c r="F7" s="4">
        <f>B7*(1+Inputs!$B$22)^4</f>
        <v>66228.773437499985</v>
      </c>
      <c r="G7" s="5">
        <f>B7/'Revenue Forecast'!$F$4</f>
        <v>5.6374599618126693E-2</v>
      </c>
      <c r="H7" s="1"/>
      <c r="I7" s="1"/>
      <c r="J7" s="1"/>
    </row>
    <row r="8" spans="1:10" ht="18" customHeight="1" x14ac:dyDescent="0.3">
      <c r="A8" s="2" t="s">
        <v>172</v>
      </c>
      <c r="B8" s="9">
        <v>65000</v>
      </c>
      <c r="C8" s="4">
        <f>B8*(1+Inputs!$B$22)^1</f>
        <v>66625</v>
      </c>
      <c r="D8" s="4">
        <f>B8*(1+Inputs!$B$22)^2</f>
        <v>68290.625</v>
      </c>
      <c r="E8" s="4">
        <f>B8*(1+Inputs!$B$22)^3</f>
        <v>69997.890624999985</v>
      </c>
      <c r="F8" s="4">
        <f>B8*(1+Inputs!$B$22)^4</f>
        <v>71747.837890624985</v>
      </c>
      <c r="G8" s="5">
        <f>B8/'Revenue Forecast'!$F$4</f>
        <v>6.1072482919637246E-2</v>
      </c>
      <c r="H8" s="1"/>
      <c r="I8" s="1"/>
      <c r="J8" s="1"/>
    </row>
    <row r="9" spans="1:10" ht="18" customHeight="1" x14ac:dyDescent="0.3">
      <c r="A9" s="2" t="s">
        <v>173</v>
      </c>
      <c r="B9" s="9">
        <v>90000</v>
      </c>
      <c r="C9" s="4">
        <f>B9*(1+Inputs!$B$22)^1</f>
        <v>92249.999999999985</v>
      </c>
      <c r="D9" s="4">
        <f>B9*(1+Inputs!$B$22)^2</f>
        <v>94556.25</v>
      </c>
      <c r="E9" s="4">
        <f>B9*(1+Inputs!$B$22)^3</f>
        <v>96920.156249999985</v>
      </c>
      <c r="F9" s="4">
        <f>B9*(1+Inputs!$B$22)^4</f>
        <v>99343.160156249985</v>
      </c>
      <c r="G9" s="5">
        <f>B9/'Revenue Forecast'!$F$4</f>
        <v>8.4561899427190029E-2</v>
      </c>
      <c r="H9" s="1"/>
      <c r="I9" s="1"/>
      <c r="J9" s="1"/>
    </row>
    <row r="10" spans="1:10" ht="18" customHeight="1" x14ac:dyDescent="0.3">
      <c r="A10" s="2" t="s">
        <v>174</v>
      </c>
      <c r="B10" s="4">
        <f>'Revenue Forecast'!F4*3.5%</f>
        <v>37250.81888341724</v>
      </c>
      <c r="C10" s="4">
        <f>B10*(1+Inputs!$B$22)^1</f>
        <v>38182.089355502671</v>
      </c>
      <c r="D10" s="4">
        <f>B10*(1+Inputs!$B$22)^2</f>
        <v>39136.641589390238</v>
      </c>
      <c r="E10" s="4">
        <f>B10*(1+Inputs!$B$22)^3</f>
        <v>40115.057629124989</v>
      </c>
      <c r="F10" s="4">
        <f>B10*(1+Inputs!$B$22)^4</f>
        <v>41117.934069853109</v>
      </c>
      <c r="G10" s="5">
        <f>B10/'Revenue Forecast'!$F$4</f>
        <v>3.5000000000000003E-2</v>
      </c>
      <c r="H10" s="1"/>
      <c r="I10" s="1"/>
      <c r="J10" s="1"/>
    </row>
    <row r="11" spans="1:10" ht="18" customHeight="1" x14ac:dyDescent="0.3">
      <c r="A11" s="2" t="s">
        <v>175</v>
      </c>
      <c r="B11" s="9">
        <v>40000</v>
      </c>
      <c r="C11" s="4">
        <f>B11*(1+Inputs!$B$22)^1</f>
        <v>41000</v>
      </c>
      <c r="D11" s="4">
        <f>B11*(1+Inputs!$B$22)^2</f>
        <v>42025</v>
      </c>
      <c r="E11" s="4">
        <f>B11*(1+Inputs!$B$22)^3</f>
        <v>43075.624999999993</v>
      </c>
      <c r="F11" s="4">
        <f>B11*(1+Inputs!$B$22)^4</f>
        <v>44152.515624999993</v>
      </c>
      <c r="G11" s="5">
        <f>B11/'Revenue Forecast'!$F$4</f>
        <v>3.7583066412084462E-2</v>
      </c>
      <c r="H11" s="1"/>
      <c r="I11" s="1"/>
      <c r="J11" s="1"/>
    </row>
    <row r="12" spans="1:10" ht="18" customHeight="1" x14ac:dyDescent="0.3">
      <c r="A12" s="2" t="s">
        <v>176</v>
      </c>
      <c r="B12" s="9">
        <v>30000</v>
      </c>
      <c r="C12" s="4">
        <f>B12*(1+Inputs!$B$22)^1</f>
        <v>30749.999999999996</v>
      </c>
      <c r="D12" s="4">
        <f>B12*(1+Inputs!$B$22)^2</f>
        <v>31518.749999999996</v>
      </c>
      <c r="E12" s="4">
        <f>B12*(1+Inputs!$B$22)^3</f>
        <v>32306.718749999996</v>
      </c>
      <c r="F12" s="4">
        <f>B12*(1+Inputs!$B$22)^4</f>
        <v>33114.386718749993</v>
      </c>
      <c r="G12" s="5">
        <f>B12/'Revenue Forecast'!$F$4</f>
        <v>2.8187299809063347E-2</v>
      </c>
      <c r="H12" s="1"/>
      <c r="I12" s="1"/>
      <c r="J12" s="1"/>
    </row>
    <row r="13" spans="1:10" ht="18" customHeight="1" x14ac:dyDescent="0.3">
      <c r="A13" s="2" t="s">
        <v>177</v>
      </c>
      <c r="B13" s="4">
        <f>'Revenue Forecast'!F4*1.5%</f>
        <v>15964.636664321673</v>
      </c>
      <c r="C13" s="4">
        <f>B13*(1+Inputs!$B$22)^1</f>
        <v>16363.752580929713</v>
      </c>
      <c r="D13" s="4">
        <f>B13*(1+Inputs!$B$22)^2</f>
        <v>16772.846395452958</v>
      </c>
      <c r="E13" s="4">
        <f>B13*(1+Inputs!$B$22)^3</f>
        <v>17192.167555339282</v>
      </c>
      <c r="F13" s="4">
        <f>B13*(1+Inputs!$B$22)^4</f>
        <v>17621.971744222759</v>
      </c>
      <c r="G13" s="5">
        <f>B13/'Revenue Forecast'!$F$4</f>
        <v>1.4999999999999999E-2</v>
      </c>
      <c r="H13" s="1"/>
      <c r="I13" s="1"/>
      <c r="J13" s="1"/>
    </row>
    <row r="14" spans="1:10" ht="18" customHeight="1" x14ac:dyDescent="0.3">
      <c r="A14" s="2" t="s">
        <v>178</v>
      </c>
      <c r="B14" s="9">
        <v>25000</v>
      </c>
      <c r="C14" s="4">
        <f>B14*(1+Inputs!$B$22)^1</f>
        <v>25624.999999999996</v>
      </c>
      <c r="D14" s="4">
        <f>B14*(1+Inputs!$B$22)^2</f>
        <v>26265.624999999996</v>
      </c>
      <c r="E14" s="4">
        <f>B14*(1+Inputs!$B$22)^3</f>
        <v>26922.265624999996</v>
      </c>
      <c r="F14" s="4">
        <f>B14*(1+Inputs!$B$22)^4</f>
        <v>27595.322265624993</v>
      </c>
      <c r="G14" s="5">
        <f>B14/'Revenue Forecast'!$F$4</f>
        <v>2.3489416507552787E-2</v>
      </c>
      <c r="H14" s="1"/>
      <c r="I14" s="1"/>
      <c r="J14" s="1"/>
    </row>
    <row r="15" spans="1:10" ht="18" customHeight="1" x14ac:dyDescent="0.3">
      <c r="A15" s="18" t="s">
        <v>179</v>
      </c>
      <c r="B15" s="20">
        <f>SUM(B5:B14)</f>
        <v>538215.45554773882</v>
      </c>
      <c r="C15" s="20">
        <f>SUM(C5:C14)</f>
        <v>551670.84193643241</v>
      </c>
      <c r="D15" s="20">
        <f>SUM(D5:D14)</f>
        <v>565462.6129848432</v>
      </c>
      <c r="E15" s="20">
        <f>SUM(E5:E14)</f>
        <v>579599.17830946425</v>
      </c>
      <c r="F15" s="20">
        <f>SUM(F5:F14)</f>
        <v>594089.15776720084</v>
      </c>
      <c r="G15" s="24">
        <f>B15/'Revenue Forecast'!$F$4</f>
        <v>0.50569468024652398</v>
      </c>
      <c r="H15" s="1"/>
      <c r="I15" s="1"/>
      <c r="J15" s="1"/>
    </row>
    <row r="16" spans="1:10" ht="18" customHeight="1" x14ac:dyDescent="0.3">
      <c r="A16" s="2"/>
      <c r="B16" s="1"/>
      <c r="C16" s="1"/>
      <c r="D16" s="1"/>
      <c r="E16" s="1"/>
      <c r="F16" s="1"/>
      <c r="G16" s="1"/>
      <c r="H16" s="1"/>
      <c r="I16" s="1"/>
      <c r="J16" s="1"/>
    </row>
    <row r="17" spans="1:10" ht="18" customHeight="1" x14ac:dyDescent="0.3">
      <c r="A17" s="18" t="s">
        <v>180</v>
      </c>
      <c r="B17" s="25">
        <f>'Revenue Forecast'!F4-B15</f>
        <v>526093.65540703945</v>
      </c>
      <c r="C17" s="25">
        <f>'Revenue Forecast'!F5-C15</f>
        <v>733919.61413143028</v>
      </c>
      <c r="D17" s="25">
        <f>'Revenue Forecast'!F6-D15</f>
        <v>928705.84117612045</v>
      </c>
      <c r="E17" s="25">
        <f>'Revenue Forecast'!F7-E15</f>
        <v>1133439.5362513708</v>
      </c>
      <c r="F17" s="25">
        <f>'Revenue Forecast'!F8-F15</f>
        <v>1190879.8424329695</v>
      </c>
      <c r="G17" s="24">
        <f>B17/'Revenue Forecast'!$F$4</f>
        <v>0.49430531975347602</v>
      </c>
      <c r="H17" s="1"/>
      <c r="I17" s="1"/>
      <c r="J17" s="1"/>
    </row>
    <row r="18" spans="1:10" ht="18" customHeight="1" x14ac:dyDescent="0.3"/>
    <row r="19" spans="1:10" ht="18" customHeight="1" x14ac:dyDescent="0.3"/>
    <row r="20" spans="1:10" ht="18" customHeight="1" x14ac:dyDescent="0.3"/>
    <row r="21" spans="1:10" ht="18" customHeight="1" x14ac:dyDescent="0.3"/>
    <row r="22" spans="1:10" ht="18" customHeight="1" x14ac:dyDescent="0.3"/>
    <row r="23" spans="1:10" ht="18" customHeight="1" x14ac:dyDescent="0.3"/>
    <row r="24" spans="1:10" ht="18" customHeight="1" x14ac:dyDescent="0.3"/>
    <row r="25" spans="1:10" ht="18" customHeight="1" x14ac:dyDescent="0.3"/>
    <row r="26" spans="1:10" ht="18" customHeight="1" x14ac:dyDescent="0.3"/>
    <row r="27" spans="1:10" ht="18" customHeight="1" x14ac:dyDescent="0.3"/>
    <row r="28" spans="1:10" ht="18" customHeight="1" x14ac:dyDescent="0.3"/>
    <row r="29" spans="1:10" ht="18" customHeight="1" x14ac:dyDescent="0.3"/>
    <row r="30" spans="1:10" ht="18" customHeight="1" x14ac:dyDescent="0.3"/>
    <row r="31" spans="1:10" ht="18" customHeight="1" x14ac:dyDescent="0.3"/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9"/>
  <sheetViews>
    <sheetView showGridLines="0" workbookViewId="0"/>
  </sheetViews>
  <sheetFormatPr defaultRowHeight="14.4" x14ac:dyDescent="0.3"/>
  <cols>
    <col min="1" max="1" width="26.109375" customWidth="1"/>
    <col min="2" max="2" width="17.77734375" customWidth="1"/>
    <col min="3" max="3" width="16.44140625" customWidth="1"/>
    <col min="4" max="4" width="12.88671875" customWidth="1"/>
    <col min="5" max="5" width="16.6640625" customWidth="1"/>
    <col min="6" max="6" width="27.77734375" customWidth="1"/>
    <col min="7" max="29" width="15" customWidth="1"/>
  </cols>
  <sheetData>
    <row r="1" spans="1:10" ht="18" customHeight="1" x14ac:dyDescent="0.35">
      <c r="A1" s="56" t="s">
        <v>181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3">
      <c r="A3" s="58" t="s">
        <v>182</v>
      </c>
      <c r="B3" s="57"/>
      <c r="C3" s="57"/>
      <c r="D3" s="57"/>
      <c r="E3" s="57"/>
      <c r="F3" s="57"/>
      <c r="G3" s="57"/>
      <c r="H3" s="57"/>
      <c r="I3" s="57"/>
      <c r="J3" s="57"/>
    </row>
    <row r="4" spans="1:10" ht="18" customHeight="1" x14ac:dyDescent="0.3">
      <c r="A4" s="2" t="s">
        <v>183</v>
      </c>
      <c r="B4" s="11">
        <v>1</v>
      </c>
      <c r="C4" s="1"/>
      <c r="D4" s="1"/>
      <c r="E4" s="1"/>
      <c r="F4" s="1"/>
      <c r="G4" s="1"/>
      <c r="H4" s="1"/>
      <c r="I4" s="1"/>
      <c r="J4" s="1"/>
    </row>
    <row r="5" spans="1:10" ht="18" customHeight="1" x14ac:dyDescent="0.3">
      <c r="A5" s="2" t="s">
        <v>184</v>
      </c>
      <c r="B5" s="11">
        <v>13</v>
      </c>
      <c r="C5" s="1"/>
      <c r="D5" s="1"/>
      <c r="E5" s="1"/>
      <c r="F5" s="1"/>
      <c r="G5" s="1"/>
      <c r="H5" s="1"/>
      <c r="I5" s="1"/>
      <c r="J5" s="1"/>
    </row>
    <row r="6" spans="1:10" ht="18" customHeight="1" x14ac:dyDescent="0.3">
      <c r="A6" s="2" t="s">
        <v>185</v>
      </c>
      <c r="B6" s="11">
        <v>12</v>
      </c>
      <c r="C6" s="1"/>
      <c r="D6" s="1"/>
      <c r="E6" s="1"/>
      <c r="F6" s="1"/>
      <c r="G6" s="1"/>
      <c r="H6" s="1"/>
      <c r="I6" s="1"/>
      <c r="J6" s="1"/>
    </row>
    <row r="7" spans="1:10" ht="18" customHeight="1" x14ac:dyDescent="0.3">
      <c r="A7" s="2" t="s">
        <v>186</v>
      </c>
      <c r="B7" s="11">
        <v>150</v>
      </c>
      <c r="C7" s="1"/>
      <c r="D7" s="1"/>
      <c r="E7" s="1"/>
      <c r="F7" s="1"/>
      <c r="G7" s="1"/>
      <c r="H7" s="1"/>
      <c r="I7" s="1"/>
      <c r="J7" s="1"/>
    </row>
    <row r="8" spans="1:10" ht="18" customHeight="1" x14ac:dyDescent="0.3">
      <c r="A8" s="2" t="s">
        <v>187</v>
      </c>
      <c r="B8" s="9">
        <v>175</v>
      </c>
      <c r="C8" s="1"/>
      <c r="D8" s="1"/>
      <c r="E8" s="1"/>
      <c r="F8" s="1"/>
      <c r="G8" s="1"/>
      <c r="H8" s="1"/>
      <c r="I8" s="1"/>
      <c r="J8" s="1"/>
    </row>
    <row r="9" spans="1:10" ht="18" customHeight="1" x14ac:dyDescent="0.3">
      <c r="A9" s="2" t="s">
        <v>188</v>
      </c>
      <c r="B9" s="10">
        <v>0.88</v>
      </c>
      <c r="C9" s="1"/>
      <c r="D9" s="1"/>
      <c r="E9" s="1"/>
      <c r="F9" s="1"/>
      <c r="G9" s="1"/>
      <c r="H9" s="1"/>
      <c r="I9" s="1"/>
      <c r="J9" s="1"/>
    </row>
    <row r="10" spans="1:10" ht="18" customHeight="1" x14ac:dyDescent="0.3">
      <c r="A10" s="2" t="s">
        <v>189</v>
      </c>
      <c r="B10" s="9">
        <v>8500</v>
      </c>
      <c r="C10" s="1"/>
      <c r="D10" s="1"/>
      <c r="E10" s="1"/>
      <c r="F10" s="1"/>
      <c r="G10" s="1"/>
      <c r="H10" s="1"/>
      <c r="I10" s="1"/>
      <c r="J10" s="1"/>
    </row>
    <row r="11" spans="1:10" ht="18" customHeight="1" x14ac:dyDescent="0.3">
      <c r="A11" s="2" t="s">
        <v>190</v>
      </c>
      <c r="B11" s="10">
        <v>0.12</v>
      </c>
      <c r="C11" s="1"/>
      <c r="D11" s="1"/>
      <c r="E11" s="1"/>
      <c r="F11" s="1"/>
      <c r="G11" s="1"/>
      <c r="H11" s="1"/>
      <c r="I11" s="1"/>
      <c r="J11" s="1"/>
    </row>
    <row r="12" spans="1:10" ht="18" customHeight="1" x14ac:dyDescent="0.3">
      <c r="A12" s="2" t="s">
        <v>191</v>
      </c>
      <c r="B12" s="10">
        <v>0.1</v>
      </c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3">
      <c r="A13" s="2"/>
      <c r="B13" s="1"/>
      <c r="C13" s="1"/>
      <c r="D13" s="1"/>
      <c r="E13" s="1"/>
      <c r="F13" s="1"/>
      <c r="G13" s="1"/>
      <c r="H13" s="1"/>
      <c r="I13" s="1"/>
      <c r="J13" s="1"/>
    </row>
    <row r="14" spans="1:10" ht="18" customHeight="1" x14ac:dyDescent="0.3">
      <c r="A14" s="2"/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 x14ac:dyDescent="0.3">
      <c r="A15" s="2"/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 x14ac:dyDescent="0.3">
      <c r="A16" s="14" t="s">
        <v>144</v>
      </c>
      <c r="B16" s="15" t="s">
        <v>192</v>
      </c>
      <c r="C16" s="15" t="s">
        <v>193</v>
      </c>
      <c r="D16" s="15" t="s">
        <v>194</v>
      </c>
      <c r="E16" s="15" t="s">
        <v>195</v>
      </c>
      <c r="F16" s="15" t="s">
        <v>196</v>
      </c>
      <c r="G16" s="1"/>
      <c r="H16" s="1"/>
      <c r="I16" s="1"/>
      <c r="J16" s="1"/>
    </row>
    <row r="17" spans="1:10" ht="18" customHeight="1" x14ac:dyDescent="0.3">
      <c r="A17" s="2">
        <v>1</v>
      </c>
      <c r="B17" s="17">
        <f t="shared" ref="B17:B48" si="0">IF(AND($B$4=1,A17&gt;=$B$5,A17&lt;$B$5+$B$6),($B$7*$B$10*(1+$B$11+$B$12))/$B$6,0)</f>
        <v>0</v>
      </c>
      <c r="C17" s="17">
        <f>SUM($B$17:B17)</f>
        <v>0</v>
      </c>
      <c r="D17" s="16">
        <f t="shared" ref="D17:D48" si="1">IF(A17&lt;$B$5+$B$6,0,MIN($B$9,(A17-($B$5+$B$6))/12*$B$9))</f>
        <v>0</v>
      </c>
      <c r="E17" s="17">
        <f t="shared" ref="E17:E48" si="2">$B$7*$B$8*D17</f>
        <v>0</v>
      </c>
      <c r="F17" s="17">
        <f t="shared" ref="F17:F48" si="3">E17*65%</f>
        <v>0</v>
      </c>
      <c r="G17" s="1"/>
      <c r="H17" s="1"/>
      <c r="I17" s="1"/>
      <c r="J17" s="1"/>
    </row>
    <row r="18" spans="1:10" ht="18" customHeight="1" x14ac:dyDescent="0.3">
      <c r="A18" s="2">
        <v>2</v>
      </c>
      <c r="B18" s="17">
        <f t="shared" si="0"/>
        <v>0</v>
      </c>
      <c r="C18" s="17">
        <f>SUM($B$17:B18)</f>
        <v>0</v>
      </c>
      <c r="D18" s="16">
        <f t="shared" si="1"/>
        <v>0</v>
      </c>
      <c r="E18" s="17">
        <f t="shared" si="2"/>
        <v>0</v>
      </c>
      <c r="F18" s="17">
        <f t="shared" si="3"/>
        <v>0</v>
      </c>
      <c r="G18" s="1"/>
      <c r="H18" s="1"/>
      <c r="I18" s="1"/>
      <c r="J18" s="1"/>
    </row>
    <row r="19" spans="1:10" ht="18" customHeight="1" x14ac:dyDescent="0.3">
      <c r="A19" s="2">
        <v>3</v>
      </c>
      <c r="B19" s="17">
        <f t="shared" si="0"/>
        <v>0</v>
      </c>
      <c r="C19" s="17">
        <f>SUM($B$17:B19)</f>
        <v>0</v>
      </c>
      <c r="D19" s="16">
        <f t="shared" si="1"/>
        <v>0</v>
      </c>
      <c r="E19" s="17">
        <f t="shared" si="2"/>
        <v>0</v>
      </c>
      <c r="F19" s="17">
        <f t="shared" si="3"/>
        <v>0</v>
      </c>
      <c r="G19" s="1"/>
      <c r="H19" s="1"/>
      <c r="I19" s="1"/>
      <c r="J19" s="1"/>
    </row>
    <row r="20" spans="1:10" ht="18" customHeight="1" x14ac:dyDescent="0.3">
      <c r="A20" s="2">
        <v>4</v>
      </c>
      <c r="B20" s="17">
        <f t="shared" si="0"/>
        <v>0</v>
      </c>
      <c r="C20" s="17">
        <f>SUM($B$17:B20)</f>
        <v>0</v>
      </c>
      <c r="D20" s="16">
        <f t="shared" si="1"/>
        <v>0</v>
      </c>
      <c r="E20" s="17">
        <f t="shared" si="2"/>
        <v>0</v>
      </c>
      <c r="F20" s="17">
        <f t="shared" si="3"/>
        <v>0</v>
      </c>
      <c r="G20" s="1"/>
      <c r="H20" s="1"/>
      <c r="I20" s="1"/>
      <c r="J20" s="1"/>
    </row>
    <row r="21" spans="1:10" ht="18" customHeight="1" x14ac:dyDescent="0.3">
      <c r="A21" s="2">
        <v>5</v>
      </c>
      <c r="B21" s="17">
        <f t="shared" si="0"/>
        <v>0</v>
      </c>
      <c r="C21" s="17">
        <f>SUM($B$17:B21)</f>
        <v>0</v>
      </c>
      <c r="D21" s="16">
        <f t="shared" si="1"/>
        <v>0</v>
      </c>
      <c r="E21" s="17">
        <f t="shared" si="2"/>
        <v>0</v>
      </c>
      <c r="F21" s="17">
        <f t="shared" si="3"/>
        <v>0</v>
      </c>
      <c r="G21" s="1"/>
      <c r="H21" s="1"/>
      <c r="I21" s="1"/>
      <c r="J21" s="1"/>
    </row>
    <row r="22" spans="1:10" ht="18" customHeight="1" x14ac:dyDescent="0.3">
      <c r="A22" s="2">
        <v>6</v>
      </c>
      <c r="B22" s="17">
        <f t="shared" si="0"/>
        <v>0</v>
      </c>
      <c r="C22" s="17">
        <f>SUM($B$17:B22)</f>
        <v>0</v>
      </c>
      <c r="D22" s="16">
        <f t="shared" si="1"/>
        <v>0</v>
      </c>
      <c r="E22" s="17">
        <f t="shared" si="2"/>
        <v>0</v>
      </c>
      <c r="F22" s="17">
        <f t="shared" si="3"/>
        <v>0</v>
      </c>
      <c r="G22" s="1"/>
      <c r="H22" s="1"/>
      <c r="I22" s="1"/>
      <c r="J22" s="1"/>
    </row>
    <row r="23" spans="1:10" ht="18" customHeight="1" x14ac:dyDescent="0.3">
      <c r="A23" s="2">
        <v>7</v>
      </c>
      <c r="B23" s="17">
        <f t="shared" si="0"/>
        <v>0</v>
      </c>
      <c r="C23" s="17">
        <f>SUM($B$17:B23)</f>
        <v>0</v>
      </c>
      <c r="D23" s="16">
        <f t="shared" si="1"/>
        <v>0</v>
      </c>
      <c r="E23" s="17">
        <f t="shared" si="2"/>
        <v>0</v>
      </c>
      <c r="F23" s="17">
        <f t="shared" si="3"/>
        <v>0</v>
      </c>
      <c r="G23" s="1"/>
      <c r="H23" s="1"/>
      <c r="I23" s="1"/>
      <c r="J23" s="1"/>
    </row>
    <row r="24" spans="1:10" ht="18" customHeight="1" x14ac:dyDescent="0.3">
      <c r="A24" s="2">
        <v>8</v>
      </c>
      <c r="B24" s="17">
        <f t="shared" si="0"/>
        <v>0</v>
      </c>
      <c r="C24" s="17">
        <f>SUM($B$17:B24)</f>
        <v>0</v>
      </c>
      <c r="D24" s="16">
        <f t="shared" si="1"/>
        <v>0</v>
      </c>
      <c r="E24" s="17">
        <f t="shared" si="2"/>
        <v>0</v>
      </c>
      <c r="F24" s="17">
        <f t="shared" si="3"/>
        <v>0</v>
      </c>
      <c r="G24" s="1"/>
      <c r="H24" s="1"/>
      <c r="I24" s="1"/>
      <c r="J24" s="1"/>
    </row>
    <row r="25" spans="1:10" ht="18" customHeight="1" x14ac:dyDescent="0.3">
      <c r="A25" s="2">
        <v>9</v>
      </c>
      <c r="B25" s="17">
        <f t="shared" si="0"/>
        <v>0</v>
      </c>
      <c r="C25" s="17">
        <f>SUM($B$17:B25)</f>
        <v>0</v>
      </c>
      <c r="D25" s="16">
        <f t="shared" si="1"/>
        <v>0</v>
      </c>
      <c r="E25" s="17">
        <f t="shared" si="2"/>
        <v>0</v>
      </c>
      <c r="F25" s="17">
        <f t="shared" si="3"/>
        <v>0</v>
      </c>
      <c r="G25" s="1"/>
      <c r="H25" s="1"/>
      <c r="I25" s="1"/>
      <c r="J25" s="1"/>
    </row>
    <row r="26" spans="1:10" ht="18" customHeight="1" x14ac:dyDescent="0.3">
      <c r="A26" s="2">
        <v>10</v>
      </c>
      <c r="B26" s="17">
        <f t="shared" si="0"/>
        <v>0</v>
      </c>
      <c r="C26" s="17">
        <f>SUM($B$17:B26)</f>
        <v>0</v>
      </c>
      <c r="D26" s="16">
        <f t="shared" si="1"/>
        <v>0</v>
      </c>
      <c r="E26" s="17">
        <f t="shared" si="2"/>
        <v>0</v>
      </c>
      <c r="F26" s="17">
        <f t="shared" si="3"/>
        <v>0</v>
      </c>
      <c r="G26" s="1"/>
      <c r="H26" s="1"/>
      <c r="I26" s="1"/>
      <c r="J26" s="1"/>
    </row>
    <row r="27" spans="1:10" ht="18" customHeight="1" x14ac:dyDescent="0.3">
      <c r="A27" s="2">
        <v>11</v>
      </c>
      <c r="B27" s="17">
        <f t="shared" si="0"/>
        <v>0</v>
      </c>
      <c r="C27" s="17">
        <f>SUM($B$17:B27)</f>
        <v>0</v>
      </c>
      <c r="D27" s="16">
        <f t="shared" si="1"/>
        <v>0</v>
      </c>
      <c r="E27" s="17">
        <f t="shared" si="2"/>
        <v>0</v>
      </c>
      <c r="F27" s="17">
        <f t="shared" si="3"/>
        <v>0</v>
      </c>
      <c r="G27" s="1"/>
      <c r="H27" s="1"/>
      <c r="I27" s="1"/>
      <c r="J27" s="1"/>
    </row>
    <row r="28" spans="1:10" ht="18" customHeight="1" x14ac:dyDescent="0.3">
      <c r="A28" s="2">
        <v>12</v>
      </c>
      <c r="B28" s="17">
        <f t="shared" si="0"/>
        <v>0</v>
      </c>
      <c r="C28" s="17">
        <f>SUM($B$17:B28)</f>
        <v>0</v>
      </c>
      <c r="D28" s="16">
        <f t="shared" si="1"/>
        <v>0</v>
      </c>
      <c r="E28" s="17">
        <f t="shared" si="2"/>
        <v>0</v>
      </c>
      <c r="F28" s="17">
        <f t="shared" si="3"/>
        <v>0</v>
      </c>
      <c r="G28" s="1"/>
      <c r="H28" s="1"/>
      <c r="I28" s="1"/>
      <c r="J28" s="1"/>
    </row>
    <row r="29" spans="1:10" ht="18" customHeight="1" x14ac:dyDescent="0.3">
      <c r="A29" s="2">
        <v>13</v>
      </c>
      <c r="B29" s="17">
        <f t="shared" si="0"/>
        <v>129625.00000000001</v>
      </c>
      <c r="C29" s="17">
        <f>SUM($B$17:B29)</f>
        <v>129625.00000000001</v>
      </c>
      <c r="D29" s="16">
        <f t="shared" si="1"/>
        <v>0</v>
      </c>
      <c r="E29" s="17">
        <f t="shared" si="2"/>
        <v>0</v>
      </c>
      <c r="F29" s="17">
        <f t="shared" si="3"/>
        <v>0</v>
      </c>
      <c r="G29" s="1"/>
      <c r="H29" s="1"/>
      <c r="I29" s="1"/>
      <c r="J29" s="1"/>
    </row>
    <row r="30" spans="1:10" ht="18" customHeight="1" x14ac:dyDescent="0.3">
      <c r="A30" s="2">
        <v>14</v>
      </c>
      <c r="B30" s="17">
        <f t="shared" si="0"/>
        <v>129625.00000000001</v>
      </c>
      <c r="C30" s="17">
        <f>SUM($B$17:B30)</f>
        <v>259250.00000000003</v>
      </c>
      <c r="D30" s="16">
        <f t="shared" si="1"/>
        <v>0</v>
      </c>
      <c r="E30" s="17">
        <f t="shared" si="2"/>
        <v>0</v>
      </c>
      <c r="F30" s="17">
        <f t="shared" si="3"/>
        <v>0</v>
      </c>
      <c r="G30" s="1"/>
      <c r="H30" s="1"/>
      <c r="I30" s="1"/>
      <c r="J30" s="1"/>
    </row>
    <row r="31" spans="1:10" ht="18" customHeight="1" x14ac:dyDescent="0.3">
      <c r="A31" s="2">
        <v>15</v>
      </c>
      <c r="B31" s="17">
        <f t="shared" si="0"/>
        <v>129625.00000000001</v>
      </c>
      <c r="C31" s="17">
        <f>SUM($B$17:B31)</f>
        <v>388875.00000000006</v>
      </c>
      <c r="D31" s="16">
        <f t="shared" si="1"/>
        <v>0</v>
      </c>
      <c r="E31" s="17">
        <f t="shared" si="2"/>
        <v>0</v>
      </c>
      <c r="F31" s="17">
        <f t="shared" si="3"/>
        <v>0</v>
      </c>
      <c r="G31" s="1"/>
      <c r="H31" s="1"/>
      <c r="I31" s="1"/>
      <c r="J31" s="1"/>
    </row>
    <row r="32" spans="1:10" ht="18" customHeight="1" x14ac:dyDescent="0.3">
      <c r="A32" s="2">
        <v>16</v>
      </c>
      <c r="B32" s="17">
        <f t="shared" si="0"/>
        <v>129625.00000000001</v>
      </c>
      <c r="C32" s="17">
        <f>SUM($B$17:B32)</f>
        <v>518500.00000000006</v>
      </c>
      <c r="D32" s="16">
        <f t="shared" si="1"/>
        <v>0</v>
      </c>
      <c r="E32" s="17">
        <f t="shared" si="2"/>
        <v>0</v>
      </c>
      <c r="F32" s="17">
        <f t="shared" si="3"/>
        <v>0</v>
      </c>
      <c r="G32" s="1"/>
      <c r="H32" s="1"/>
      <c r="I32" s="1"/>
      <c r="J32" s="1"/>
    </row>
    <row r="33" spans="1:10" ht="18" customHeight="1" x14ac:dyDescent="0.3">
      <c r="A33" s="2">
        <v>17</v>
      </c>
      <c r="B33" s="17">
        <f t="shared" si="0"/>
        <v>129625.00000000001</v>
      </c>
      <c r="C33" s="17">
        <f>SUM($B$17:B33)</f>
        <v>648125.00000000012</v>
      </c>
      <c r="D33" s="16">
        <f t="shared" si="1"/>
        <v>0</v>
      </c>
      <c r="E33" s="17">
        <f t="shared" si="2"/>
        <v>0</v>
      </c>
      <c r="F33" s="17">
        <f t="shared" si="3"/>
        <v>0</v>
      </c>
      <c r="G33" s="1"/>
      <c r="H33" s="1"/>
      <c r="I33" s="1"/>
      <c r="J33" s="1"/>
    </row>
    <row r="34" spans="1:10" ht="18" customHeight="1" x14ac:dyDescent="0.3">
      <c r="A34" s="2">
        <v>18</v>
      </c>
      <c r="B34" s="17">
        <f t="shared" si="0"/>
        <v>129625.00000000001</v>
      </c>
      <c r="C34" s="17">
        <f>SUM($B$17:B34)</f>
        <v>777750.00000000012</v>
      </c>
      <c r="D34" s="16">
        <f t="shared" si="1"/>
        <v>0</v>
      </c>
      <c r="E34" s="17">
        <f t="shared" si="2"/>
        <v>0</v>
      </c>
      <c r="F34" s="17">
        <f t="shared" si="3"/>
        <v>0</v>
      </c>
      <c r="G34" s="1"/>
      <c r="H34" s="1"/>
      <c r="I34" s="1"/>
      <c r="J34" s="1"/>
    </row>
    <row r="35" spans="1:10" ht="18" customHeight="1" x14ac:dyDescent="0.3">
      <c r="A35" s="2">
        <v>19</v>
      </c>
      <c r="B35" s="17">
        <f t="shared" si="0"/>
        <v>129625.00000000001</v>
      </c>
      <c r="C35" s="17">
        <f>SUM($B$17:B35)</f>
        <v>907375.00000000012</v>
      </c>
      <c r="D35" s="16">
        <f t="shared" si="1"/>
        <v>0</v>
      </c>
      <c r="E35" s="17">
        <f t="shared" si="2"/>
        <v>0</v>
      </c>
      <c r="F35" s="17">
        <f t="shared" si="3"/>
        <v>0</v>
      </c>
      <c r="G35" s="1"/>
      <c r="H35" s="1"/>
      <c r="I35" s="1"/>
      <c r="J35" s="1"/>
    </row>
    <row r="36" spans="1:10" ht="18" customHeight="1" x14ac:dyDescent="0.3">
      <c r="A36" s="2">
        <v>20</v>
      </c>
      <c r="B36" s="17">
        <f t="shared" si="0"/>
        <v>129625.00000000001</v>
      </c>
      <c r="C36" s="17">
        <f>SUM($B$17:B36)</f>
        <v>1037000.0000000001</v>
      </c>
      <c r="D36" s="16">
        <f t="shared" si="1"/>
        <v>0</v>
      </c>
      <c r="E36" s="17">
        <f t="shared" si="2"/>
        <v>0</v>
      </c>
      <c r="F36" s="17">
        <f t="shared" si="3"/>
        <v>0</v>
      </c>
      <c r="G36" s="1"/>
      <c r="H36" s="1"/>
      <c r="I36" s="1"/>
      <c r="J36" s="1"/>
    </row>
    <row r="37" spans="1:10" ht="18" customHeight="1" x14ac:dyDescent="0.3">
      <c r="A37" s="2">
        <v>21</v>
      </c>
      <c r="B37" s="17">
        <f t="shared" si="0"/>
        <v>129625.00000000001</v>
      </c>
      <c r="C37" s="17">
        <f>SUM($B$17:B37)</f>
        <v>1166625.0000000002</v>
      </c>
      <c r="D37" s="16">
        <f t="shared" si="1"/>
        <v>0</v>
      </c>
      <c r="E37" s="17">
        <f t="shared" si="2"/>
        <v>0</v>
      </c>
      <c r="F37" s="17">
        <f t="shared" si="3"/>
        <v>0</v>
      </c>
      <c r="G37" s="1"/>
      <c r="H37" s="1"/>
      <c r="I37" s="1"/>
      <c r="J37" s="1"/>
    </row>
    <row r="38" spans="1:10" ht="18" customHeight="1" x14ac:dyDescent="0.3">
      <c r="A38" s="2">
        <v>22</v>
      </c>
      <c r="B38" s="17">
        <f t="shared" si="0"/>
        <v>129625.00000000001</v>
      </c>
      <c r="C38" s="17">
        <f>SUM($B$17:B38)</f>
        <v>1296250.0000000002</v>
      </c>
      <c r="D38" s="16">
        <f t="shared" si="1"/>
        <v>0</v>
      </c>
      <c r="E38" s="17">
        <f t="shared" si="2"/>
        <v>0</v>
      </c>
      <c r="F38" s="17">
        <f t="shared" si="3"/>
        <v>0</v>
      </c>
      <c r="G38" s="1"/>
      <c r="H38" s="1"/>
      <c r="I38" s="1"/>
      <c r="J38" s="1"/>
    </row>
    <row r="39" spans="1:10" ht="18" customHeight="1" x14ac:dyDescent="0.3">
      <c r="A39" s="2">
        <v>23</v>
      </c>
      <c r="B39" s="17">
        <f t="shared" si="0"/>
        <v>129625.00000000001</v>
      </c>
      <c r="C39" s="17">
        <f>SUM($B$17:B39)</f>
        <v>1425875.0000000002</v>
      </c>
      <c r="D39" s="16">
        <f t="shared" si="1"/>
        <v>0</v>
      </c>
      <c r="E39" s="17">
        <f t="shared" si="2"/>
        <v>0</v>
      </c>
      <c r="F39" s="17">
        <f t="shared" si="3"/>
        <v>0</v>
      </c>
      <c r="G39" s="1"/>
      <c r="H39" s="1"/>
      <c r="I39" s="1"/>
      <c r="J39" s="1"/>
    </row>
    <row r="40" spans="1:10" ht="18" customHeight="1" x14ac:dyDescent="0.3">
      <c r="A40" s="2">
        <v>24</v>
      </c>
      <c r="B40" s="17">
        <f t="shared" si="0"/>
        <v>129625.00000000001</v>
      </c>
      <c r="C40" s="17">
        <f>SUM($B$17:B40)</f>
        <v>1555500.0000000002</v>
      </c>
      <c r="D40" s="16">
        <f t="shared" si="1"/>
        <v>0</v>
      </c>
      <c r="E40" s="17">
        <f t="shared" si="2"/>
        <v>0</v>
      </c>
      <c r="F40" s="17">
        <f t="shared" si="3"/>
        <v>0</v>
      </c>
      <c r="G40" s="1"/>
      <c r="H40" s="1"/>
      <c r="I40" s="1"/>
      <c r="J40" s="1"/>
    </row>
    <row r="41" spans="1:10" ht="18" customHeight="1" x14ac:dyDescent="0.3">
      <c r="A41" s="2">
        <v>25</v>
      </c>
      <c r="B41" s="17">
        <f t="shared" si="0"/>
        <v>0</v>
      </c>
      <c r="C41" s="17">
        <f>SUM($B$17:B41)</f>
        <v>1555500.0000000002</v>
      </c>
      <c r="D41" s="16">
        <f t="shared" si="1"/>
        <v>0</v>
      </c>
      <c r="E41" s="17">
        <f t="shared" si="2"/>
        <v>0</v>
      </c>
      <c r="F41" s="17">
        <f t="shared" si="3"/>
        <v>0</v>
      </c>
      <c r="G41" s="1"/>
      <c r="H41" s="1"/>
      <c r="I41" s="1"/>
      <c r="J41" s="1"/>
    </row>
    <row r="42" spans="1:10" ht="18" customHeight="1" x14ac:dyDescent="0.3">
      <c r="A42" s="2">
        <v>26</v>
      </c>
      <c r="B42" s="17">
        <f t="shared" si="0"/>
        <v>0</v>
      </c>
      <c r="C42" s="17">
        <f>SUM($B$17:B42)</f>
        <v>1555500.0000000002</v>
      </c>
      <c r="D42" s="16">
        <f t="shared" si="1"/>
        <v>7.3333333333333334E-2</v>
      </c>
      <c r="E42" s="17">
        <f t="shared" si="2"/>
        <v>1925</v>
      </c>
      <c r="F42" s="17">
        <f t="shared" si="3"/>
        <v>1251.25</v>
      </c>
      <c r="G42" s="1"/>
      <c r="H42" s="1"/>
      <c r="I42" s="1"/>
      <c r="J42" s="1"/>
    </row>
    <row r="43" spans="1:10" ht="18" customHeight="1" x14ac:dyDescent="0.3">
      <c r="A43" s="2">
        <v>27</v>
      </c>
      <c r="B43" s="17">
        <f t="shared" si="0"/>
        <v>0</v>
      </c>
      <c r="C43" s="17">
        <f>SUM($B$17:B43)</f>
        <v>1555500.0000000002</v>
      </c>
      <c r="D43" s="16">
        <f t="shared" si="1"/>
        <v>0.14666666666666667</v>
      </c>
      <c r="E43" s="17">
        <f t="shared" si="2"/>
        <v>3850</v>
      </c>
      <c r="F43" s="17">
        <f t="shared" si="3"/>
        <v>2502.5</v>
      </c>
      <c r="G43" s="1"/>
      <c r="H43" s="1"/>
      <c r="I43" s="1"/>
      <c r="J43" s="1"/>
    </row>
    <row r="44" spans="1:10" ht="18" customHeight="1" x14ac:dyDescent="0.3">
      <c r="A44" s="2">
        <v>28</v>
      </c>
      <c r="B44" s="17">
        <f t="shared" si="0"/>
        <v>0</v>
      </c>
      <c r="C44" s="17">
        <f>SUM($B$17:B44)</f>
        <v>1555500.0000000002</v>
      </c>
      <c r="D44" s="16">
        <f t="shared" si="1"/>
        <v>0.22</v>
      </c>
      <c r="E44" s="17">
        <f t="shared" si="2"/>
        <v>5775</v>
      </c>
      <c r="F44" s="17">
        <f t="shared" si="3"/>
        <v>3753.75</v>
      </c>
      <c r="G44" s="1"/>
      <c r="H44" s="1"/>
      <c r="I44" s="1"/>
      <c r="J44" s="1"/>
    </row>
    <row r="45" spans="1:10" ht="18" customHeight="1" x14ac:dyDescent="0.3">
      <c r="A45" s="2">
        <v>29</v>
      </c>
      <c r="B45" s="17">
        <f t="shared" si="0"/>
        <v>0</v>
      </c>
      <c r="C45" s="17">
        <f>SUM($B$17:B45)</f>
        <v>1555500.0000000002</v>
      </c>
      <c r="D45" s="16">
        <f t="shared" si="1"/>
        <v>0.29333333333333333</v>
      </c>
      <c r="E45" s="17">
        <f t="shared" si="2"/>
        <v>7700</v>
      </c>
      <c r="F45" s="17">
        <f t="shared" si="3"/>
        <v>5005</v>
      </c>
      <c r="G45" s="1"/>
      <c r="H45" s="1"/>
      <c r="I45" s="1"/>
      <c r="J45" s="1"/>
    </row>
    <row r="46" spans="1:10" ht="18" customHeight="1" x14ac:dyDescent="0.3">
      <c r="A46" s="2">
        <v>30</v>
      </c>
      <c r="B46" s="17">
        <f t="shared" si="0"/>
        <v>0</v>
      </c>
      <c r="C46" s="17">
        <f>SUM($B$17:B46)</f>
        <v>1555500.0000000002</v>
      </c>
      <c r="D46" s="16">
        <f t="shared" si="1"/>
        <v>0.3666666666666667</v>
      </c>
      <c r="E46" s="17">
        <f t="shared" si="2"/>
        <v>9625</v>
      </c>
      <c r="F46" s="17">
        <f t="shared" si="3"/>
        <v>6256.25</v>
      </c>
      <c r="G46" s="1"/>
      <c r="H46" s="1"/>
      <c r="I46" s="1"/>
      <c r="J46" s="1"/>
    </row>
    <row r="47" spans="1:10" ht="18" customHeight="1" x14ac:dyDescent="0.3">
      <c r="A47" s="2">
        <v>31</v>
      </c>
      <c r="B47" s="17">
        <f t="shared" si="0"/>
        <v>0</v>
      </c>
      <c r="C47" s="17">
        <f>SUM($B$17:B47)</f>
        <v>1555500.0000000002</v>
      </c>
      <c r="D47" s="16">
        <f t="shared" si="1"/>
        <v>0.44</v>
      </c>
      <c r="E47" s="17">
        <f t="shared" si="2"/>
        <v>11550</v>
      </c>
      <c r="F47" s="17">
        <f t="shared" si="3"/>
        <v>7507.5</v>
      </c>
      <c r="G47" s="1"/>
      <c r="H47" s="1"/>
      <c r="I47" s="1"/>
      <c r="J47" s="1"/>
    </row>
    <row r="48" spans="1:10" ht="18" customHeight="1" x14ac:dyDescent="0.3">
      <c r="A48" s="2">
        <v>32</v>
      </c>
      <c r="B48" s="17">
        <f t="shared" si="0"/>
        <v>0</v>
      </c>
      <c r="C48" s="17">
        <f>SUM($B$17:B48)</f>
        <v>1555500.0000000002</v>
      </c>
      <c r="D48" s="16">
        <f t="shared" si="1"/>
        <v>0.51333333333333342</v>
      </c>
      <c r="E48" s="17">
        <f t="shared" si="2"/>
        <v>13475.000000000002</v>
      </c>
      <c r="F48" s="17">
        <f t="shared" si="3"/>
        <v>8758.7500000000018</v>
      </c>
      <c r="G48" s="1"/>
      <c r="H48" s="1"/>
      <c r="I48" s="1"/>
      <c r="J48" s="1"/>
    </row>
    <row r="49" spans="1:10" ht="18" customHeight="1" x14ac:dyDescent="0.3">
      <c r="A49" s="2">
        <v>33</v>
      </c>
      <c r="B49" s="17">
        <f t="shared" ref="B49:B76" si="4">IF(AND($B$4=1,A49&gt;=$B$5,A49&lt;$B$5+$B$6),($B$7*$B$10*(1+$B$11+$B$12))/$B$6,0)</f>
        <v>0</v>
      </c>
      <c r="C49" s="17">
        <f>SUM($B$17:B49)</f>
        <v>1555500.0000000002</v>
      </c>
      <c r="D49" s="16">
        <f t="shared" ref="D49:D76" si="5">IF(A49&lt;$B$5+$B$6,0,MIN($B$9,(A49-($B$5+$B$6))/12*$B$9))</f>
        <v>0.58666666666666667</v>
      </c>
      <c r="E49" s="17">
        <f t="shared" ref="E49:E76" si="6">$B$7*$B$8*D49</f>
        <v>15400</v>
      </c>
      <c r="F49" s="17">
        <f t="shared" ref="F49:F76" si="7">E49*65%</f>
        <v>10010</v>
      </c>
      <c r="G49" s="1"/>
      <c r="H49" s="1"/>
      <c r="I49" s="1"/>
      <c r="J49" s="1"/>
    </row>
    <row r="50" spans="1:10" ht="18" customHeight="1" x14ac:dyDescent="0.3">
      <c r="A50" s="2">
        <v>34</v>
      </c>
      <c r="B50" s="17">
        <f t="shared" si="4"/>
        <v>0</v>
      </c>
      <c r="C50" s="17">
        <f>SUM($B$17:B50)</f>
        <v>1555500.0000000002</v>
      </c>
      <c r="D50" s="16">
        <f t="shared" si="5"/>
        <v>0.66</v>
      </c>
      <c r="E50" s="17">
        <f t="shared" si="6"/>
        <v>17325</v>
      </c>
      <c r="F50" s="17">
        <f t="shared" si="7"/>
        <v>11261.25</v>
      </c>
      <c r="G50" s="1"/>
      <c r="H50" s="1"/>
      <c r="I50" s="1"/>
      <c r="J50" s="1"/>
    </row>
    <row r="51" spans="1:10" ht="18" customHeight="1" x14ac:dyDescent="0.3">
      <c r="A51" s="2">
        <v>35</v>
      </c>
      <c r="B51" s="17">
        <f t="shared" si="4"/>
        <v>0</v>
      </c>
      <c r="C51" s="17">
        <f>SUM($B$17:B51)</f>
        <v>1555500.0000000002</v>
      </c>
      <c r="D51" s="16">
        <f t="shared" si="5"/>
        <v>0.73333333333333339</v>
      </c>
      <c r="E51" s="17">
        <f t="shared" si="6"/>
        <v>19250</v>
      </c>
      <c r="F51" s="17">
        <f t="shared" si="7"/>
        <v>12512.5</v>
      </c>
      <c r="G51" s="1"/>
      <c r="H51" s="1"/>
      <c r="I51" s="1"/>
      <c r="J51" s="1"/>
    </row>
    <row r="52" spans="1:10" ht="18" customHeight="1" x14ac:dyDescent="0.3">
      <c r="A52" s="2">
        <v>36</v>
      </c>
      <c r="B52" s="17">
        <f t="shared" si="4"/>
        <v>0</v>
      </c>
      <c r="C52" s="17">
        <f>SUM($B$17:B52)</f>
        <v>1555500.0000000002</v>
      </c>
      <c r="D52" s="16">
        <f t="shared" si="5"/>
        <v>0.80666666666666664</v>
      </c>
      <c r="E52" s="17">
        <f t="shared" si="6"/>
        <v>21175</v>
      </c>
      <c r="F52" s="17">
        <f t="shared" si="7"/>
        <v>13763.75</v>
      </c>
      <c r="G52" s="1"/>
      <c r="H52" s="1"/>
      <c r="I52" s="1"/>
      <c r="J52" s="1"/>
    </row>
    <row r="53" spans="1:10" ht="18" customHeight="1" x14ac:dyDescent="0.3">
      <c r="A53" s="2">
        <v>37</v>
      </c>
      <c r="B53" s="17">
        <f t="shared" si="4"/>
        <v>0</v>
      </c>
      <c r="C53" s="17">
        <f>SUM($B$17:B53)</f>
        <v>1555500.0000000002</v>
      </c>
      <c r="D53" s="16">
        <f t="shared" si="5"/>
        <v>0.88</v>
      </c>
      <c r="E53" s="17">
        <f t="shared" si="6"/>
        <v>23100</v>
      </c>
      <c r="F53" s="17">
        <f t="shared" si="7"/>
        <v>15015</v>
      </c>
      <c r="G53" s="1"/>
      <c r="H53" s="1"/>
      <c r="I53" s="1"/>
      <c r="J53" s="1"/>
    </row>
    <row r="54" spans="1:10" ht="18" customHeight="1" x14ac:dyDescent="0.3">
      <c r="A54" s="2">
        <v>38</v>
      </c>
      <c r="B54" s="17">
        <f t="shared" si="4"/>
        <v>0</v>
      </c>
      <c r="C54" s="17">
        <f>SUM($B$17:B54)</f>
        <v>1555500.0000000002</v>
      </c>
      <c r="D54" s="16">
        <f t="shared" si="5"/>
        <v>0.88</v>
      </c>
      <c r="E54" s="17">
        <f t="shared" si="6"/>
        <v>23100</v>
      </c>
      <c r="F54" s="17">
        <f t="shared" si="7"/>
        <v>15015</v>
      </c>
      <c r="G54" s="1"/>
      <c r="H54" s="1"/>
      <c r="I54" s="1"/>
      <c r="J54" s="1"/>
    </row>
    <row r="55" spans="1:10" ht="18" customHeight="1" x14ac:dyDescent="0.3">
      <c r="A55" s="2">
        <v>39</v>
      </c>
      <c r="B55" s="17">
        <f t="shared" si="4"/>
        <v>0</v>
      </c>
      <c r="C55" s="17">
        <f>SUM($B$17:B55)</f>
        <v>1555500.0000000002</v>
      </c>
      <c r="D55" s="16">
        <f t="shared" si="5"/>
        <v>0.88</v>
      </c>
      <c r="E55" s="17">
        <f t="shared" si="6"/>
        <v>23100</v>
      </c>
      <c r="F55" s="17">
        <f t="shared" si="7"/>
        <v>15015</v>
      </c>
      <c r="G55" s="1"/>
      <c r="H55" s="1"/>
      <c r="I55" s="1"/>
      <c r="J55" s="1"/>
    </row>
    <row r="56" spans="1:10" ht="18" customHeight="1" x14ac:dyDescent="0.3">
      <c r="A56" s="2">
        <v>40</v>
      </c>
      <c r="B56" s="17">
        <f t="shared" si="4"/>
        <v>0</v>
      </c>
      <c r="C56" s="17">
        <f>SUM($B$17:B56)</f>
        <v>1555500.0000000002</v>
      </c>
      <c r="D56" s="16">
        <f t="shared" si="5"/>
        <v>0.88</v>
      </c>
      <c r="E56" s="17">
        <f t="shared" si="6"/>
        <v>23100</v>
      </c>
      <c r="F56" s="17">
        <f t="shared" si="7"/>
        <v>15015</v>
      </c>
      <c r="G56" s="1"/>
      <c r="H56" s="1"/>
      <c r="I56" s="1"/>
      <c r="J56" s="1"/>
    </row>
    <row r="57" spans="1:10" ht="18" customHeight="1" x14ac:dyDescent="0.3">
      <c r="A57" s="2">
        <v>41</v>
      </c>
      <c r="B57" s="17">
        <f t="shared" si="4"/>
        <v>0</v>
      </c>
      <c r="C57" s="17">
        <f>SUM($B$17:B57)</f>
        <v>1555500.0000000002</v>
      </c>
      <c r="D57" s="16">
        <f t="shared" si="5"/>
        <v>0.88</v>
      </c>
      <c r="E57" s="17">
        <f t="shared" si="6"/>
        <v>23100</v>
      </c>
      <c r="F57" s="17">
        <f t="shared" si="7"/>
        <v>15015</v>
      </c>
      <c r="G57" s="1"/>
      <c r="H57" s="1"/>
      <c r="I57" s="1"/>
      <c r="J57" s="1"/>
    </row>
    <row r="58" spans="1:10" ht="18" customHeight="1" x14ac:dyDescent="0.3">
      <c r="A58" s="2">
        <v>42</v>
      </c>
      <c r="B58" s="17">
        <f t="shared" si="4"/>
        <v>0</v>
      </c>
      <c r="C58" s="17">
        <f>SUM($B$17:B58)</f>
        <v>1555500.0000000002</v>
      </c>
      <c r="D58" s="16">
        <f t="shared" si="5"/>
        <v>0.88</v>
      </c>
      <c r="E58" s="17">
        <f t="shared" si="6"/>
        <v>23100</v>
      </c>
      <c r="F58" s="17">
        <f t="shared" si="7"/>
        <v>15015</v>
      </c>
      <c r="G58" s="1"/>
      <c r="H58" s="1"/>
      <c r="I58" s="1"/>
      <c r="J58" s="1"/>
    </row>
    <row r="59" spans="1:10" ht="18" customHeight="1" x14ac:dyDescent="0.3">
      <c r="A59" s="2">
        <v>43</v>
      </c>
      <c r="B59" s="17">
        <f t="shared" si="4"/>
        <v>0</v>
      </c>
      <c r="C59" s="17">
        <f>SUM($B$17:B59)</f>
        <v>1555500.0000000002</v>
      </c>
      <c r="D59" s="16">
        <f t="shared" si="5"/>
        <v>0.88</v>
      </c>
      <c r="E59" s="17">
        <f t="shared" si="6"/>
        <v>23100</v>
      </c>
      <c r="F59" s="17">
        <f t="shared" si="7"/>
        <v>15015</v>
      </c>
      <c r="G59" s="1"/>
      <c r="H59" s="1"/>
      <c r="I59" s="1"/>
      <c r="J59" s="1"/>
    </row>
    <row r="60" spans="1:10" ht="18" customHeight="1" x14ac:dyDescent="0.3">
      <c r="A60" s="2">
        <v>44</v>
      </c>
      <c r="B60" s="17">
        <f t="shared" si="4"/>
        <v>0</v>
      </c>
      <c r="C60" s="17">
        <f>SUM($B$17:B60)</f>
        <v>1555500.0000000002</v>
      </c>
      <c r="D60" s="16">
        <f t="shared" si="5"/>
        <v>0.88</v>
      </c>
      <c r="E60" s="17">
        <f t="shared" si="6"/>
        <v>23100</v>
      </c>
      <c r="F60" s="17">
        <f t="shared" si="7"/>
        <v>15015</v>
      </c>
      <c r="G60" s="1"/>
      <c r="H60" s="1"/>
      <c r="I60" s="1"/>
      <c r="J60" s="1"/>
    </row>
    <row r="61" spans="1:10" ht="18" customHeight="1" x14ac:dyDescent="0.3">
      <c r="A61" s="2">
        <v>45</v>
      </c>
      <c r="B61" s="17">
        <f t="shared" si="4"/>
        <v>0</v>
      </c>
      <c r="C61" s="17">
        <f>SUM($B$17:B61)</f>
        <v>1555500.0000000002</v>
      </c>
      <c r="D61" s="16">
        <f t="shared" si="5"/>
        <v>0.88</v>
      </c>
      <c r="E61" s="17">
        <f t="shared" si="6"/>
        <v>23100</v>
      </c>
      <c r="F61" s="17">
        <f t="shared" si="7"/>
        <v>15015</v>
      </c>
      <c r="G61" s="1"/>
      <c r="H61" s="1"/>
      <c r="I61" s="1"/>
      <c r="J61" s="1"/>
    </row>
    <row r="62" spans="1:10" ht="18" customHeight="1" x14ac:dyDescent="0.3">
      <c r="A62" s="2">
        <v>46</v>
      </c>
      <c r="B62" s="17">
        <f t="shared" si="4"/>
        <v>0</v>
      </c>
      <c r="C62" s="17">
        <f>SUM($B$17:B62)</f>
        <v>1555500.0000000002</v>
      </c>
      <c r="D62" s="16">
        <f t="shared" si="5"/>
        <v>0.88</v>
      </c>
      <c r="E62" s="17">
        <f t="shared" si="6"/>
        <v>23100</v>
      </c>
      <c r="F62" s="17">
        <f t="shared" si="7"/>
        <v>15015</v>
      </c>
      <c r="G62" s="1"/>
      <c r="H62" s="1"/>
      <c r="I62" s="1"/>
      <c r="J62" s="1"/>
    </row>
    <row r="63" spans="1:10" ht="18" customHeight="1" x14ac:dyDescent="0.3">
      <c r="A63" s="2">
        <v>47</v>
      </c>
      <c r="B63" s="17">
        <f t="shared" si="4"/>
        <v>0</v>
      </c>
      <c r="C63" s="17">
        <f>SUM($B$17:B63)</f>
        <v>1555500.0000000002</v>
      </c>
      <c r="D63" s="16">
        <f t="shared" si="5"/>
        <v>0.88</v>
      </c>
      <c r="E63" s="17">
        <f t="shared" si="6"/>
        <v>23100</v>
      </c>
      <c r="F63" s="17">
        <f t="shared" si="7"/>
        <v>15015</v>
      </c>
      <c r="G63" s="1"/>
      <c r="H63" s="1"/>
      <c r="I63" s="1"/>
      <c r="J63" s="1"/>
    </row>
    <row r="64" spans="1:10" ht="18" customHeight="1" x14ac:dyDescent="0.3">
      <c r="A64" s="2">
        <v>48</v>
      </c>
      <c r="B64" s="17">
        <f t="shared" si="4"/>
        <v>0</v>
      </c>
      <c r="C64" s="17">
        <f>SUM($B$17:B64)</f>
        <v>1555500.0000000002</v>
      </c>
      <c r="D64" s="16">
        <f t="shared" si="5"/>
        <v>0.88</v>
      </c>
      <c r="E64" s="17">
        <f t="shared" si="6"/>
        <v>23100</v>
      </c>
      <c r="F64" s="17">
        <f t="shared" si="7"/>
        <v>15015</v>
      </c>
      <c r="G64" s="1"/>
      <c r="H64" s="1"/>
      <c r="I64" s="1"/>
      <c r="J64" s="1"/>
    </row>
    <row r="65" spans="1:10" ht="18" customHeight="1" x14ac:dyDescent="0.3">
      <c r="A65" s="2">
        <v>49</v>
      </c>
      <c r="B65" s="17">
        <f t="shared" si="4"/>
        <v>0</v>
      </c>
      <c r="C65" s="17">
        <f>SUM($B$17:B65)</f>
        <v>1555500.0000000002</v>
      </c>
      <c r="D65" s="16">
        <f t="shared" si="5"/>
        <v>0.88</v>
      </c>
      <c r="E65" s="17">
        <f t="shared" si="6"/>
        <v>23100</v>
      </c>
      <c r="F65" s="17">
        <f t="shared" si="7"/>
        <v>15015</v>
      </c>
      <c r="G65" s="1"/>
      <c r="H65" s="1"/>
      <c r="I65" s="1"/>
      <c r="J65" s="1"/>
    </row>
    <row r="66" spans="1:10" ht="18" customHeight="1" x14ac:dyDescent="0.3">
      <c r="A66" s="2">
        <v>50</v>
      </c>
      <c r="B66" s="17">
        <f t="shared" si="4"/>
        <v>0</v>
      </c>
      <c r="C66" s="17">
        <f>SUM($B$17:B66)</f>
        <v>1555500.0000000002</v>
      </c>
      <c r="D66" s="16">
        <f t="shared" si="5"/>
        <v>0.88</v>
      </c>
      <c r="E66" s="17">
        <f t="shared" si="6"/>
        <v>23100</v>
      </c>
      <c r="F66" s="17">
        <f t="shared" si="7"/>
        <v>15015</v>
      </c>
      <c r="G66" s="1"/>
      <c r="H66" s="1"/>
      <c r="I66" s="1"/>
      <c r="J66" s="1"/>
    </row>
    <row r="67" spans="1:10" ht="18" customHeight="1" x14ac:dyDescent="0.3">
      <c r="A67" s="2">
        <v>51</v>
      </c>
      <c r="B67" s="17">
        <f t="shared" si="4"/>
        <v>0</v>
      </c>
      <c r="C67" s="17">
        <f>SUM($B$17:B67)</f>
        <v>1555500.0000000002</v>
      </c>
      <c r="D67" s="16">
        <f t="shared" si="5"/>
        <v>0.88</v>
      </c>
      <c r="E67" s="17">
        <f t="shared" si="6"/>
        <v>23100</v>
      </c>
      <c r="F67" s="17">
        <f t="shared" si="7"/>
        <v>15015</v>
      </c>
      <c r="G67" s="1"/>
      <c r="H67" s="1"/>
      <c r="I67" s="1"/>
      <c r="J67" s="1"/>
    </row>
    <row r="68" spans="1:10" ht="18" customHeight="1" x14ac:dyDescent="0.3">
      <c r="A68" s="2">
        <v>52</v>
      </c>
      <c r="B68" s="17">
        <f t="shared" si="4"/>
        <v>0</v>
      </c>
      <c r="C68" s="17">
        <f>SUM($B$17:B68)</f>
        <v>1555500.0000000002</v>
      </c>
      <c r="D68" s="16">
        <f t="shared" si="5"/>
        <v>0.88</v>
      </c>
      <c r="E68" s="17">
        <f t="shared" si="6"/>
        <v>23100</v>
      </c>
      <c r="F68" s="17">
        <f t="shared" si="7"/>
        <v>15015</v>
      </c>
      <c r="G68" s="1"/>
      <c r="H68" s="1"/>
      <c r="I68" s="1"/>
      <c r="J68" s="1"/>
    </row>
    <row r="69" spans="1:10" ht="18" customHeight="1" x14ac:dyDescent="0.3">
      <c r="A69" s="2">
        <v>53</v>
      </c>
      <c r="B69" s="17">
        <f t="shared" si="4"/>
        <v>0</v>
      </c>
      <c r="C69" s="17">
        <f>SUM($B$17:B69)</f>
        <v>1555500.0000000002</v>
      </c>
      <c r="D69" s="16">
        <f t="shared" si="5"/>
        <v>0.88</v>
      </c>
      <c r="E69" s="17">
        <f t="shared" si="6"/>
        <v>23100</v>
      </c>
      <c r="F69" s="17">
        <f t="shared" si="7"/>
        <v>15015</v>
      </c>
      <c r="G69" s="1"/>
      <c r="H69" s="1"/>
      <c r="I69" s="1"/>
      <c r="J69" s="1"/>
    </row>
    <row r="70" spans="1:10" ht="18" customHeight="1" x14ac:dyDescent="0.3">
      <c r="A70" s="2">
        <v>54</v>
      </c>
      <c r="B70" s="17">
        <f t="shared" si="4"/>
        <v>0</v>
      </c>
      <c r="C70" s="17">
        <f>SUM($B$17:B70)</f>
        <v>1555500.0000000002</v>
      </c>
      <c r="D70" s="16">
        <f t="shared" si="5"/>
        <v>0.88</v>
      </c>
      <c r="E70" s="17">
        <f t="shared" si="6"/>
        <v>23100</v>
      </c>
      <c r="F70" s="17">
        <f t="shared" si="7"/>
        <v>15015</v>
      </c>
      <c r="G70" s="1"/>
      <c r="H70" s="1"/>
      <c r="I70" s="1"/>
      <c r="J70" s="1"/>
    </row>
    <row r="71" spans="1:10" ht="18" customHeight="1" x14ac:dyDescent="0.3">
      <c r="A71" s="2">
        <v>55</v>
      </c>
      <c r="B71" s="17">
        <f t="shared" si="4"/>
        <v>0</v>
      </c>
      <c r="C71" s="17">
        <f>SUM($B$17:B71)</f>
        <v>1555500.0000000002</v>
      </c>
      <c r="D71" s="16">
        <f t="shared" si="5"/>
        <v>0.88</v>
      </c>
      <c r="E71" s="17">
        <f t="shared" si="6"/>
        <v>23100</v>
      </c>
      <c r="F71" s="17">
        <f t="shared" si="7"/>
        <v>15015</v>
      </c>
      <c r="G71" s="1"/>
      <c r="H71" s="1"/>
      <c r="I71" s="1"/>
      <c r="J71" s="1"/>
    </row>
    <row r="72" spans="1:10" ht="18" customHeight="1" x14ac:dyDescent="0.3">
      <c r="A72" s="2">
        <v>56</v>
      </c>
      <c r="B72" s="17">
        <f t="shared" si="4"/>
        <v>0</v>
      </c>
      <c r="C72" s="17">
        <f>SUM($B$17:B72)</f>
        <v>1555500.0000000002</v>
      </c>
      <c r="D72" s="16">
        <f t="shared" si="5"/>
        <v>0.88</v>
      </c>
      <c r="E72" s="17">
        <f t="shared" si="6"/>
        <v>23100</v>
      </c>
      <c r="F72" s="17">
        <f t="shared" si="7"/>
        <v>15015</v>
      </c>
      <c r="G72" s="1"/>
      <c r="H72" s="1"/>
      <c r="I72" s="1"/>
      <c r="J72" s="1"/>
    </row>
    <row r="73" spans="1:10" ht="18" customHeight="1" x14ac:dyDescent="0.3">
      <c r="A73" s="2">
        <v>57</v>
      </c>
      <c r="B73" s="17">
        <f t="shared" si="4"/>
        <v>0</v>
      </c>
      <c r="C73" s="17">
        <f>SUM($B$17:B73)</f>
        <v>1555500.0000000002</v>
      </c>
      <c r="D73" s="16">
        <f t="shared" si="5"/>
        <v>0.88</v>
      </c>
      <c r="E73" s="17">
        <f t="shared" si="6"/>
        <v>23100</v>
      </c>
      <c r="F73" s="17">
        <f t="shared" si="7"/>
        <v>15015</v>
      </c>
      <c r="G73" s="1"/>
      <c r="H73" s="1"/>
      <c r="I73" s="1"/>
      <c r="J73" s="1"/>
    </row>
    <row r="74" spans="1:10" ht="18" customHeight="1" x14ac:dyDescent="0.3">
      <c r="A74" s="2">
        <v>58</v>
      </c>
      <c r="B74" s="17">
        <f t="shared" si="4"/>
        <v>0</v>
      </c>
      <c r="C74" s="17">
        <f>SUM($B$17:B74)</f>
        <v>1555500.0000000002</v>
      </c>
      <c r="D74" s="16">
        <f t="shared" si="5"/>
        <v>0.88</v>
      </c>
      <c r="E74" s="17">
        <f t="shared" si="6"/>
        <v>23100</v>
      </c>
      <c r="F74" s="17">
        <f t="shared" si="7"/>
        <v>15015</v>
      </c>
      <c r="G74" s="1"/>
      <c r="H74" s="1"/>
      <c r="I74" s="1"/>
      <c r="J74" s="1"/>
    </row>
    <row r="75" spans="1:10" ht="18" customHeight="1" x14ac:dyDescent="0.3">
      <c r="A75" s="2">
        <v>59</v>
      </c>
      <c r="B75" s="17">
        <f t="shared" si="4"/>
        <v>0</v>
      </c>
      <c r="C75" s="17">
        <f>SUM($B$17:B75)</f>
        <v>1555500.0000000002</v>
      </c>
      <c r="D75" s="16">
        <f t="shared" si="5"/>
        <v>0.88</v>
      </c>
      <c r="E75" s="17">
        <f t="shared" si="6"/>
        <v>23100</v>
      </c>
      <c r="F75" s="17">
        <f t="shared" si="7"/>
        <v>15015</v>
      </c>
      <c r="G75" s="1"/>
      <c r="H75" s="1"/>
      <c r="I75" s="1"/>
      <c r="J75" s="1"/>
    </row>
    <row r="76" spans="1:10" ht="18" customHeight="1" x14ac:dyDescent="0.3">
      <c r="A76" s="2">
        <v>60</v>
      </c>
      <c r="B76" s="17">
        <f t="shared" si="4"/>
        <v>0</v>
      </c>
      <c r="C76" s="17">
        <f>SUM($B$17:B76)</f>
        <v>1555500.0000000002</v>
      </c>
      <c r="D76" s="16">
        <f t="shared" si="5"/>
        <v>0.88</v>
      </c>
      <c r="E76" s="17">
        <f t="shared" si="6"/>
        <v>23100</v>
      </c>
      <c r="F76" s="17">
        <f t="shared" si="7"/>
        <v>15015</v>
      </c>
      <c r="G76" s="1"/>
      <c r="H76" s="1"/>
      <c r="I76" s="1"/>
      <c r="J76" s="1"/>
    </row>
    <row r="77" spans="1:10" ht="18" customHeight="1" x14ac:dyDescent="0.3"/>
    <row r="78" spans="1:10" ht="18" customHeight="1" x14ac:dyDescent="0.3"/>
    <row r="79" spans="1:10" ht="18" customHeight="1" x14ac:dyDescent="0.3"/>
    <row r="80" spans="1:1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2">
    <mergeCell ref="A1:J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9"/>
  <sheetViews>
    <sheetView showGridLines="0" workbookViewId="0">
      <selection sqref="A1:L1"/>
    </sheetView>
  </sheetViews>
  <sheetFormatPr defaultRowHeight="14.4" x14ac:dyDescent="0.3"/>
  <cols>
    <col min="1" max="1" width="34" customWidth="1"/>
    <col min="2" max="29" width="15" customWidth="1"/>
  </cols>
  <sheetData>
    <row r="1" spans="1:12" ht="18" customHeight="1" x14ac:dyDescent="0.35">
      <c r="A1" s="56" t="s">
        <v>197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 customHeight="1" x14ac:dyDescent="0.3">
      <c r="A3" s="58" t="s">
        <v>198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ht="18" customHeight="1" x14ac:dyDescent="0.3">
      <c r="A4" s="2" t="s">
        <v>3</v>
      </c>
      <c r="B4" s="4">
        <f>Inputs!B4*(1+Inputs!B5)+Inputs!B6+Inputs!B7*Inputs!B4</f>
        <v>4612500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" customHeight="1" x14ac:dyDescent="0.3">
      <c r="A5" s="2" t="s">
        <v>199</v>
      </c>
      <c r="B5" s="4">
        <f>IF(Inputs!$B$49="Yes",0,Inputs!B4*Inputs!B25)</f>
        <v>0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" customHeight="1" x14ac:dyDescent="0.3">
      <c r="A6" s="2" t="s">
        <v>200</v>
      </c>
      <c r="B6" s="17">
        <f>B4-B5</f>
        <v>4612500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" customHeight="1" x14ac:dyDescent="0.3">
      <c r="A7" s="2" t="s">
        <v>201</v>
      </c>
      <c r="B7" s="4">
        <f>IF(Inputs!$B$49="Yes",0,PMT(Inputs!B26/12,Inputs!B27*12,-B5)*12)</f>
        <v>0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" customHeight="1" x14ac:dyDescent="0.3">
      <c r="A8" s="2" t="s">
        <v>202</v>
      </c>
      <c r="B8" s="5" t="str">
        <f>IF(OR(Inputs!$B$49="Yes",$B$5=0),"N/A",'Operating Expenses'!B17/$B$5)</f>
        <v>N/A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" customHeight="1" x14ac:dyDescent="0.3">
      <c r="A9" s="2" t="s">
        <v>203</v>
      </c>
      <c r="B9" s="5" t="str">
        <f>IF(OR(Inputs!$B$49="Yes",$B$7=0),"N/A",'Operating Expenses'!B17/$B$7)</f>
        <v>N/A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" customHeight="1" x14ac:dyDescent="0.3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" customHeight="1" x14ac:dyDescent="0.3">
      <c r="A11" s="44" t="s">
        <v>204</v>
      </c>
      <c r="B11" s="44" t="str">
        <f>Inputs!B50</f>
        <v>Levered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" customHeight="1" x14ac:dyDescent="0.3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" customHeight="1" x14ac:dyDescent="0.3">
      <c r="A13" s="14" t="s">
        <v>144</v>
      </c>
      <c r="B13" s="15" t="s">
        <v>205</v>
      </c>
      <c r="C13" s="15" t="s">
        <v>206</v>
      </c>
      <c r="D13" s="15" t="s">
        <v>207</v>
      </c>
      <c r="E13" s="15" t="s">
        <v>208</v>
      </c>
      <c r="F13" s="15" t="s">
        <v>209</v>
      </c>
      <c r="G13" s="15" t="s">
        <v>210</v>
      </c>
      <c r="H13" s="15" t="s">
        <v>211</v>
      </c>
      <c r="I13" s="15" t="s">
        <v>212</v>
      </c>
      <c r="J13" s="15" t="s">
        <v>213</v>
      </c>
      <c r="K13" s="1"/>
      <c r="L13" s="1"/>
    </row>
    <row r="14" spans="1:12" ht="18" customHeight="1" x14ac:dyDescent="0.3">
      <c r="A14" s="2">
        <v>1</v>
      </c>
      <c r="B14" s="17">
        <f>IF(Inputs!$B$49="Yes",0,$B$5)</f>
        <v>0</v>
      </c>
      <c r="C14" s="4">
        <f>IF(Inputs!$B$49="Yes",0,IF(A14&lt;Inputs!$B$28,Inputs!$B$26/12*B14,PMT(Inputs!$B$26/12,Inputs!$B$27*12,-B14)))</f>
        <v>0</v>
      </c>
      <c r="D14" s="4">
        <f>IF(Inputs!$B$49="Yes",0,B14*Inputs!$B$26/12)</f>
        <v>0</v>
      </c>
      <c r="E14" s="17">
        <f>IF(Inputs!$B$49="Yes",0,MAX(0,C14-D14))</f>
        <v>0</v>
      </c>
      <c r="F14" s="17">
        <f>IF(Inputs!$B$49="Yes",0,MAX(0,B14-E14))</f>
        <v>0</v>
      </c>
      <c r="G14" s="4">
        <f>IF(Inputs!$B$49="Yes",0,IF(A14=Inputs!$B$30,('Operating Expenses'!D17*4)/Inputs!$B$35,0))</f>
        <v>0</v>
      </c>
      <c r="H14" s="4">
        <f>IF(Inputs!$B$49="Yes",0,IF(A14=Inputs!$B$30,G14*Inputs!$B$31,0))</f>
        <v>0</v>
      </c>
      <c r="I14" s="4">
        <f>IF(Inputs!$B$49="Yes",0,IF(A14=Inputs!$B$30,MAX(0,H14-F14),0))</f>
        <v>0</v>
      </c>
      <c r="J14" s="4">
        <f>IF(Inputs!$B$49="Yes",0,IF(A14=Inputs!$B$30,H14,F14))</f>
        <v>0</v>
      </c>
      <c r="K14" s="1"/>
      <c r="L14" s="1"/>
    </row>
    <row r="15" spans="1:12" ht="18" customHeight="1" x14ac:dyDescent="0.3">
      <c r="A15" s="2">
        <v>2</v>
      </c>
      <c r="B15" s="17">
        <f>IF(Inputs!$B$49="Yes",0,J14)</f>
        <v>0</v>
      </c>
      <c r="C15" s="4">
        <f>IF(Inputs!$B$49="Yes",0,IF(A15&lt;Inputs!$B$28,Inputs!$B$26/12*B15,PMT(Inputs!$B$26/12,Inputs!$B$27*12,-B15)))</f>
        <v>0</v>
      </c>
      <c r="D15" s="4">
        <f>IF(Inputs!$B$49="Yes",0,B15*Inputs!$B$26/12)</f>
        <v>0</v>
      </c>
      <c r="E15" s="17">
        <f>IF(Inputs!$B$49="Yes",0,MAX(0,C15-D15))</f>
        <v>0</v>
      </c>
      <c r="F15" s="17">
        <f>IF(Inputs!$B$49="Yes",0,MAX(0,B15-E15))</f>
        <v>0</v>
      </c>
      <c r="G15" s="4">
        <f>IF(Inputs!$B$49="Yes",0,IF(A15=Inputs!$B$30,('Operating Expenses'!D17*4)/Inputs!$B$35,0))</f>
        <v>0</v>
      </c>
      <c r="H15" s="4">
        <f>IF(Inputs!$B$49="Yes",0,IF(A15=Inputs!$B$30,G15*Inputs!$B$31,0))</f>
        <v>0</v>
      </c>
      <c r="I15" s="4">
        <f>IF(Inputs!$B$49="Yes",0,IF(A15=Inputs!$B$30,MAX(0,H15-F15),0))</f>
        <v>0</v>
      </c>
      <c r="J15" s="4">
        <f>IF(Inputs!$B$49="Yes",0,IF(A15=Inputs!$B$30,H15,F15))</f>
        <v>0</v>
      </c>
      <c r="K15" s="1"/>
      <c r="L15" s="1"/>
    </row>
    <row r="16" spans="1:12" ht="18" customHeight="1" x14ac:dyDescent="0.3">
      <c r="A16" s="2">
        <v>3</v>
      </c>
      <c r="B16" s="17">
        <f>IF(Inputs!$B$49="Yes",0,J15)</f>
        <v>0</v>
      </c>
      <c r="C16" s="4">
        <f>IF(Inputs!$B$49="Yes",0,IF(A16&lt;Inputs!$B$28,Inputs!$B$26/12*B16,PMT(Inputs!$B$26/12,Inputs!$B$27*12,-B16)))</f>
        <v>0</v>
      </c>
      <c r="D16" s="4">
        <f>IF(Inputs!$B$49="Yes",0,B16*Inputs!$B$26/12)</f>
        <v>0</v>
      </c>
      <c r="E16" s="17">
        <f>IF(Inputs!$B$49="Yes",0,MAX(0,C16-D16))</f>
        <v>0</v>
      </c>
      <c r="F16" s="17">
        <f>IF(Inputs!$B$49="Yes",0,MAX(0,B16-E16))</f>
        <v>0</v>
      </c>
      <c r="G16" s="4">
        <f>IF(Inputs!$B$49="Yes",0,IF(A16=Inputs!$B$30,('Operating Expenses'!D17*4)/Inputs!$B$35,0))</f>
        <v>0</v>
      </c>
      <c r="H16" s="4">
        <f>IF(Inputs!$B$49="Yes",0,IF(A16=Inputs!$B$30,G16*Inputs!$B$31,0))</f>
        <v>0</v>
      </c>
      <c r="I16" s="4">
        <f>IF(Inputs!$B$49="Yes",0,IF(A16=Inputs!$B$30,MAX(0,H16-F16),0))</f>
        <v>0</v>
      </c>
      <c r="J16" s="4">
        <f>IF(Inputs!$B$49="Yes",0,IF(A16=Inputs!$B$30,H16,F16))</f>
        <v>0</v>
      </c>
      <c r="K16" s="1"/>
      <c r="L16" s="1"/>
    </row>
    <row r="17" spans="1:12" ht="18" customHeight="1" x14ac:dyDescent="0.3">
      <c r="A17" s="2">
        <v>4</v>
      </c>
      <c r="B17" s="17">
        <f>IF(Inputs!$B$49="Yes",0,J16)</f>
        <v>0</v>
      </c>
      <c r="C17" s="4">
        <f>IF(Inputs!$B$49="Yes",0,IF(A17&lt;Inputs!$B$28,Inputs!$B$26/12*B17,PMT(Inputs!$B$26/12,Inputs!$B$27*12,-B17)))</f>
        <v>0</v>
      </c>
      <c r="D17" s="4">
        <f>IF(Inputs!$B$49="Yes",0,B17*Inputs!$B$26/12)</f>
        <v>0</v>
      </c>
      <c r="E17" s="17">
        <f>IF(Inputs!$B$49="Yes",0,MAX(0,C17-D17))</f>
        <v>0</v>
      </c>
      <c r="F17" s="17">
        <f>IF(Inputs!$B$49="Yes",0,MAX(0,B17-E17))</f>
        <v>0</v>
      </c>
      <c r="G17" s="4">
        <f>IF(Inputs!$B$49="Yes",0,IF(A17=Inputs!$B$30,('Operating Expenses'!D17*4)/Inputs!$B$35,0))</f>
        <v>0</v>
      </c>
      <c r="H17" s="4">
        <f>IF(Inputs!$B$49="Yes",0,IF(A17=Inputs!$B$30,G17*Inputs!$B$31,0))</f>
        <v>0</v>
      </c>
      <c r="I17" s="4">
        <f>IF(Inputs!$B$49="Yes",0,IF(A17=Inputs!$B$30,MAX(0,H17-F17),0))</f>
        <v>0</v>
      </c>
      <c r="J17" s="4">
        <f>IF(Inputs!$B$49="Yes",0,IF(A17=Inputs!$B$30,H17,F17))</f>
        <v>0</v>
      </c>
      <c r="K17" s="1"/>
      <c r="L17" s="1"/>
    </row>
    <row r="18" spans="1:12" ht="18" customHeight="1" x14ac:dyDescent="0.3">
      <c r="A18" s="2">
        <v>5</v>
      </c>
      <c r="B18" s="17">
        <f>IF(Inputs!$B$49="Yes",0,J17)</f>
        <v>0</v>
      </c>
      <c r="C18" s="4">
        <f>IF(Inputs!$B$49="Yes",0,IF(A18&lt;Inputs!$B$28,Inputs!$B$26/12*B18,PMT(Inputs!$B$26/12,Inputs!$B$27*12,-B18)))</f>
        <v>0</v>
      </c>
      <c r="D18" s="4">
        <f>IF(Inputs!$B$49="Yes",0,B18*Inputs!$B$26/12)</f>
        <v>0</v>
      </c>
      <c r="E18" s="17">
        <f>IF(Inputs!$B$49="Yes",0,MAX(0,C18-D18))</f>
        <v>0</v>
      </c>
      <c r="F18" s="17">
        <f>IF(Inputs!$B$49="Yes",0,MAX(0,B18-E18))</f>
        <v>0</v>
      </c>
      <c r="G18" s="4">
        <f>IF(Inputs!$B$49="Yes",0,IF(A18=Inputs!$B$30,('Operating Expenses'!D17*4)/Inputs!$B$35,0))</f>
        <v>0</v>
      </c>
      <c r="H18" s="4">
        <f>IF(Inputs!$B$49="Yes",0,IF(A18=Inputs!$B$30,G18*Inputs!$B$31,0))</f>
        <v>0</v>
      </c>
      <c r="I18" s="4">
        <f>IF(Inputs!$B$49="Yes",0,IF(A18=Inputs!$B$30,MAX(0,H18-F18),0))</f>
        <v>0</v>
      </c>
      <c r="J18" s="4">
        <f>IF(Inputs!$B$49="Yes",0,IF(A18=Inputs!$B$30,H18,F18))</f>
        <v>0</v>
      </c>
      <c r="K18" s="1"/>
      <c r="L18" s="1"/>
    </row>
    <row r="19" spans="1:12" ht="18" customHeight="1" x14ac:dyDescent="0.3">
      <c r="A19" s="2">
        <v>6</v>
      </c>
      <c r="B19" s="17">
        <f>IF(Inputs!$B$49="Yes",0,J18)</f>
        <v>0</v>
      </c>
      <c r="C19" s="4">
        <f>IF(Inputs!$B$49="Yes",0,IF(A19&lt;Inputs!$B$28,Inputs!$B$26/12*B19,PMT(Inputs!$B$26/12,Inputs!$B$27*12,-B19)))</f>
        <v>0</v>
      </c>
      <c r="D19" s="4">
        <f>IF(Inputs!$B$49="Yes",0,B19*Inputs!$B$26/12)</f>
        <v>0</v>
      </c>
      <c r="E19" s="17">
        <f>IF(Inputs!$B$49="Yes",0,MAX(0,C19-D19))</f>
        <v>0</v>
      </c>
      <c r="F19" s="17">
        <f>IF(Inputs!$B$49="Yes",0,MAX(0,B19-E19))</f>
        <v>0</v>
      </c>
      <c r="G19" s="4">
        <f>IF(Inputs!$B$49="Yes",0,IF(A19=Inputs!$B$30,('Operating Expenses'!D17*4)/Inputs!$B$35,0))</f>
        <v>0</v>
      </c>
      <c r="H19" s="4">
        <f>IF(Inputs!$B$49="Yes",0,IF(A19=Inputs!$B$30,G19*Inputs!$B$31,0))</f>
        <v>0</v>
      </c>
      <c r="I19" s="4">
        <f>IF(Inputs!$B$49="Yes",0,IF(A19=Inputs!$B$30,MAX(0,H19-F19),0))</f>
        <v>0</v>
      </c>
      <c r="J19" s="4">
        <f>IF(Inputs!$B$49="Yes",0,IF(A19=Inputs!$B$30,H19,F19))</f>
        <v>0</v>
      </c>
      <c r="K19" s="1"/>
      <c r="L19" s="1"/>
    </row>
    <row r="20" spans="1:12" ht="18" customHeight="1" x14ac:dyDescent="0.3">
      <c r="A20" s="2">
        <v>7</v>
      </c>
      <c r="B20" s="17">
        <f>IF(Inputs!$B$49="Yes",0,J19)</f>
        <v>0</v>
      </c>
      <c r="C20" s="4">
        <f>IF(Inputs!$B$49="Yes",0,IF(A20&lt;Inputs!$B$28,Inputs!$B$26/12*B20,PMT(Inputs!$B$26/12,Inputs!$B$27*12,-B20)))</f>
        <v>0</v>
      </c>
      <c r="D20" s="4">
        <f>IF(Inputs!$B$49="Yes",0,B20*Inputs!$B$26/12)</f>
        <v>0</v>
      </c>
      <c r="E20" s="17">
        <f>IF(Inputs!$B$49="Yes",0,MAX(0,C20-D20))</f>
        <v>0</v>
      </c>
      <c r="F20" s="17">
        <f>IF(Inputs!$B$49="Yes",0,MAX(0,B20-E20))</f>
        <v>0</v>
      </c>
      <c r="G20" s="4">
        <f>IF(Inputs!$B$49="Yes",0,IF(A20=Inputs!$B$30,('Operating Expenses'!D17*4)/Inputs!$B$35,0))</f>
        <v>0</v>
      </c>
      <c r="H20" s="4">
        <f>IF(Inputs!$B$49="Yes",0,IF(A20=Inputs!$B$30,G20*Inputs!$B$31,0))</f>
        <v>0</v>
      </c>
      <c r="I20" s="4">
        <f>IF(Inputs!$B$49="Yes",0,IF(A20=Inputs!$B$30,MAX(0,H20-F20),0))</f>
        <v>0</v>
      </c>
      <c r="J20" s="4">
        <f>IF(Inputs!$B$49="Yes",0,IF(A20=Inputs!$B$30,H20,F20))</f>
        <v>0</v>
      </c>
      <c r="K20" s="1"/>
      <c r="L20" s="1"/>
    </row>
    <row r="21" spans="1:12" ht="18" customHeight="1" x14ac:dyDescent="0.3">
      <c r="A21" s="2">
        <v>8</v>
      </c>
      <c r="B21" s="17">
        <f>IF(Inputs!$B$49="Yes",0,J20)</f>
        <v>0</v>
      </c>
      <c r="C21" s="4">
        <f>IF(Inputs!$B$49="Yes",0,IF(A21&lt;Inputs!$B$28,Inputs!$B$26/12*B21,PMT(Inputs!$B$26/12,Inputs!$B$27*12,-B21)))</f>
        <v>0</v>
      </c>
      <c r="D21" s="4">
        <f>IF(Inputs!$B$49="Yes",0,B21*Inputs!$B$26/12)</f>
        <v>0</v>
      </c>
      <c r="E21" s="17">
        <f>IF(Inputs!$B$49="Yes",0,MAX(0,C21-D21))</f>
        <v>0</v>
      </c>
      <c r="F21" s="17">
        <f>IF(Inputs!$B$49="Yes",0,MAX(0,B21-E21))</f>
        <v>0</v>
      </c>
      <c r="G21" s="4">
        <f>IF(Inputs!$B$49="Yes",0,IF(A21=Inputs!$B$30,('Operating Expenses'!D17*4)/Inputs!$B$35,0))</f>
        <v>0</v>
      </c>
      <c r="H21" s="4">
        <f>IF(Inputs!$B$49="Yes",0,IF(A21=Inputs!$B$30,G21*Inputs!$B$31,0))</f>
        <v>0</v>
      </c>
      <c r="I21" s="4">
        <f>IF(Inputs!$B$49="Yes",0,IF(A21=Inputs!$B$30,MAX(0,H21-F21),0))</f>
        <v>0</v>
      </c>
      <c r="J21" s="4">
        <f>IF(Inputs!$B$49="Yes",0,IF(A21=Inputs!$B$30,H21,F21))</f>
        <v>0</v>
      </c>
      <c r="K21" s="1"/>
      <c r="L21" s="1"/>
    </row>
    <row r="22" spans="1:12" ht="18" customHeight="1" x14ac:dyDescent="0.3">
      <c r="A22" s="2">
        <v>9</v>
      </c>
      <c r="B22" s="17">
        <f>IF(Inputs!$B$49="Yes",0,J21)</f>
        <v>0</v>
      </c>
      <c r="C22" s="4">
        <f>IF(Inputs!$B$49="Yes",0,IF(A22&lt;Inputs!$B$28,Inputs!$B$26/12*B22,PMT(Inputs!$B$26/12,Inputs!$B$27*12,-B22)))</f>
        <v>0</v>
      </c>
      <c r="D22" s="4">
        <f>IF(Inputs!$B$49="Yes",0,B22*Inputs!$B$26/12)</f>
        <v>0</v>
      </c>
      <c r="E22" s="17">
        <f>IF(Inputs!$B$49="Yes",0,MAX(0,C22-D22))</f>
        <v>0</v>
      </c>
      <c r="F22" s="17">
        <f>IF(Inputs!$B$49="Yes",0,MAX(0,B22-E22))</f>
        <v>0</v>
      </c>
      <c r="G22" s="4">
        <f>IF(Inputs!$B$49="Yes",0,IF(A22=Inputs!$B$30,('Operating Expenses'!D17*4)/Inputs!$B$35,0))</f>
        <v>0</v>
      </c>
      <c r="H22" s="4">
        <f>IF(Inputs!$B$49="Yes",0,IF(A22=Inputs!$B$30,G22*Inputs!$B$31,0))</f>
        <v>0</v>
      </c>
      <c r="I22" s="4">
        <f>IF(Inputs!$B$49="Yes",0,IF(A22=Inputs!$B$30,MAX(0,H22-F22),0))</f>
        <v>0</v>
      </c>
      <c r="J22" s="4">
        <f>IF(Inputs!$B$49="Yes",0,IF(A22=Inputs!$B$30,H22,F22))</f>
        <v>0</v>
      </c>
      <c r="K22" s="1"/>
      <c r="L22" s="1"/>
    </row>
    <row r="23" spans="1:12" ht="18" customHeight="1" x14ac:dyDescent="0.3">
      <c r="A23" s="2">
        <v>10</v>
      </c>
      <c r="B23" s="17">
        <f>IF(Inputs!$B$49="Yes",0,J22)</f>
        <v>0</v>
      </c>
      <c r="C23" s="4">
        <f>IF(Inputs!$B$49="Yes",0,IF(A23&lt;Inputs!$B$28,Inputs!$B$26/12*B23,PMT(Inputs!$B$26/12,Inputs!$B$27*12,-B23)))</f>
        <v>0</v>
      </c>
      <c r="D23" s="4">
        <f>IF(Inputs!$B$49="Yes",0,B23*Inputs!$B$26/12)</f>
        <v>0</v>
      </c>
      <c r="E23" s="17">
        <f>IF(Inputs!$B$49="Yes",0,MAX(0,C23-D23))</f>
        <v>0</v>
      </c>
      <c r="F23" s="17">
        <f>IF(Inputs!$B$49="Yes",0,MAX(0,B23-E23))</f>
        <v>0</v>
      </c>
      <c r="G23" s="4">
        <f>IF(Inputs!$B$49="Yes",0,IF(A23=Inputs!$B$30,('Operating Expenses'!D17*4)/Inputs!$B$35,0))</f>
        <v>0</v>
      </c>
      <c r="H23" s="4">
        <f>IF(Inputs!$B$49="Yes",0,IF(A23=Inputs!$B$30,G23*Inputs!$B$31,0))</f>
        <v>0</v>
      </c>
      <c r="I23" s="4">
        <f>IF(Inputs!$B$49="Yes",0,IF(A23=Inputs!$B$30,MAX(0,H23-F23),0))</f>
        <v>0</v>
      </c>
      <c r="J23" s="4">
        <f>IF(Inputs!$B$49="Yes",0,IF(A23=Inputs!$B$30,H23,F23))</f>
        <v>0</v>
      </c>
      <c r="K23" s="1"/>
      <c r="L23" s="1"/>
    </row>
    <row r="24" spans="1:12" ht="18" customHeight="1" x14ac:dyDescent="0.3">
      <c r="A24" s="2">
        <v>11</v>
      </c>
      <c r="B24" s="17">
        <f>IF(Inputs!$B$49="Yes",0,J23)</f>
        <v>0</v>
      </c>
      <c r="C24" s="4">
        <f>IF(Inputs!$B$49="Yes",0,IF(A24&lt;Inputs!$B$28,Inputs!$B$26/12*B24,PMT(Inputs!$B$26/12,Inputs!$B$27*12,-B24)))</f>
        <v>0</v>
      </c>
      <c r="D24" s="4">
        <f>IF(Inputs!$B$49="Yes",0,B24*Inputs!$B$26/12)</f>
        <v>0</v>
      </c>
      <c r="E24" s="17">
        <f>IF(Inputs!$B$49="Yes",0,MAX(0,C24-D24))</f>
        <v>0</v>
      </c>
      <c r="F24" s="17">
        <f>IF(Inputs!$B$49="Yes",0,MAX(0,B24-E24))</f>
        <v>0</v>
      </c>
      <c r="G24" s="4">
        <f>IF(Inputs!$B$49="Yes",0,IF(A24=Inputs!$B$30,('Operating Expenses'!D17*4)/Inputs!$B$35,0))</f>
        <v>0</v>
      </c>
      <c r="H24" s="4">
        <f>IF(Inputs!$B$49="Yes",0,IF(A24=Inputs!$B$30,G24*Inputs!$B$31,0))</f>
        <v>0</v>
      </c>
      <c r="I24" s="4">
        <f>IF(Inputs!$B$49="Yes",0,IF(A24=Inputs!$B$30,MAX(0,H24-F24),0))</f>
        <v>0</v>
      </c>
      <c r="J24" s="4">
        <f>IF(Inputs!$B$49="Yes",0,IF(A24=Inputs!$B$30,H24,F24))</f>
        <v>0</v>
      </c>
      <c r="K24" s="1"/>
      <c r="L24" s="1"/>
    </row>
    <row r="25" spans="1:12" ht="18" customHeight="1" x14ac:dyDescent="0.3">
      <c r="A25" s="2">
        <v>12</v>
      </c>
      <c r="B25" s="17">
        <f>IF(Inputs!$B$49="Yes",0,J24)</f>
        <v>0</v>
      </c>
      <c r="C25" s="4">
        <f>IF(Inputs!$B$49="Yes",0,IF(A25&lt;Inputs!$B$28,Inputs!$B$26/12*B25,PMT(Inputs!$B$26/12,Inputs!$B$27*12,-B25)))</f>
        <v>0</v>
      </c>
      <c r="D25" s="4">
        <f>IF(Inputs!$B$49="Yes",0,B25*Inputs!$B$26/12)</f>
        <v>0</v>
      </c>
      <c r="E25" s="17">
        <f>IF(Inputs!$B$49="Yes",0,MAX(0,C25-D25))</f>
        <v>0</v>
      </c>
      <c r="F25" s="17">
        <f>IF(Inputs!$B$49="Yes",0,MAX(0,B25-E25))</f>
        <v>0</v>
      </c>
      <c r="G25" s="4">
        <f>IF(Inputs!$B$49="Yes",0,IF(A25=Inputs!$B$30,('Operating Expenses'!D17*4)/Inputs!$B$35,0))</f>
        <v>0</v>
      </c>
      <c r="H25" s="4">
        <f>IF(Inputs!$B$49="Yes",0,IF(A25=Inputs!$B$30,G25*Inputs!$B$31,0))</f>
        <v>0</v>
      </c>
      <c r="I25" s="4">
        <f>IF(Inputs!$B$49="Yes",0,IF(A25=Inputs!$B$30,MAX(0,H25-F25),0))</f>
        <v>0</v>
      </c>
      <c r="J25" s="4">
        <f>IF(Inputs!$B$49="Yes",0,IF(A25=Inputs!$B$30,H25,F25))</f>
        <v>0</v>
      </c>
      <c r="K25" s="1"/>
      <c r="L25" s="1"/>
    </row>
    <row r="26" spans="1:12" ht="18" customHeight="1" x14ac:dyDescent="0.3">
      <c r="A26" s="2">
        <v>13</v>
      </c>
      <c r="B26" s="17">
        <f>IF(Inputs!$B$49="Yes",0,J25)</f>
        <v>0</v>
      </c>
      <c r="C26" s="4">
        <f>IF(Inputs!$B$49="Yes",0,IF(A26&lt;Inputs!$B$28,Inputs!$B$26/12*B26,PMT(Inputs!$B$26/12,Inputs!$B$27*12,-B26)))</f>
        <v>0</v>
      </c>
      <c r="D26" s="4">
        <f>IF(Inputs!$B$49="Yes",0,B26*Inputs!$B$26/12)</f>
        <v>0</v>
      </c>
      <c r="E26" s="17">
        <f>IF(Inputs!$B$49="Yes",0,MAX(0,C26-D26))</f>
        <v>0</v>
      </c>
      <c r="F26" s="17">
        <f>IF(Inputs!$B$49="Yes",0,MAX(0,B26-E26))</f>
        <v>0</v>
      </c>
      <c r="G26" s="4">
        <f>IF(Inputs!$B$49="Yes",0,IF(A26=Inputs!$B$30,('Operating Expenses'!D17*4)/Inputs!$B$35,0))</f>
        <v>0</v>
      </c>
      <c r="H26" s="4">
        <f>IF(Inputs!$B$49="Yes",0,IF(A26=Inputs!$B$30,G26*Inputs!$B$31,0))</f>
        <v>0</v>
      </c>
      <c r="I26" s="4">
        <f>IF(Inputs!$B$49="Yes",0,IF(A26=Inputs!$B$30,MAX(0,H26-F26),0))</f>
        <v>0</v>
      </c>
      <c r="J26" s="4">
        <f>IF(Inputs!$B$49="Yes",0,IF(A26=Inputs!$B$30,H26,F26))</f>
        <v>0</v>
      </c>
      <c r="K26" s="1"/>
      <c r="L26" s="1"/>
    </row>
    <row r="27" spans="1:12" ht="18" customHeight="1" x14ac:dyDescent="0.3">
      <c r="A27" s="2">
        <v>14</v>
      </c>
      <c r="B27" s="17">
        <f>IF(Inputs!$B$49="Yes",0,J26)</f>
        <v>0</v>
      </c>
      <c r="C27" s="4">
        <f>IF(Inputs!$B$49="Yes",0,IF(A27&lt;Inputs!$B$28,Inputs!$B$26/12*B27,PMT(Inputs!$B$26/12,Inputs!$B$27*12,-B27)))</f>
        <v>0</v>
      </c>
      <c r="D27" s="4">
        <f>IF(Inputs!$B$49="Yes",0,B27*Inputs!$B$26/12)</f>
        <v>0</v>
      </c>
      <c r="E27" s="17">
        <f>IF(Inputs!$B$49="Yes",0,MAX(0,C27-D27))</f>
        <v>0</v>
      </c>
      <c r="F27" s="17">
        <f>IF(Inputs!$B$49="Yes",0,MAX(0,B27-E27))</f>
        <v>0</v>
      </c>
      <c r="G27" s="4">
        <f>IF(Inputs!$B$49="Yes",0,IF(A27=Inputs!$B$30,('Operating Expenses'!D17*4)/Inputs!$B$35,0))</f>
        <v>0</v>
      </c>
      <c r="H27" s="4">
        <f>IF(Inputs!$B$49="Yes",0,IF(A27=Inputs!$B$30,G27*Inputs!$B$31,0))</f>
        <v>0</v>
      </c>
      <c r="I27" s="4">
        <f>IF(Inputs!$B$49="Yes",0,IF(A27=Inputs!$B$30,MAX(0,H27-F27),0))</f>
        <v>0</v>
      </c>
      <c r="J27" s="4">
        <f>IF(Inputs!$B$49="Yes",0,IF(A27=Inputs!$B$30,H27,F27))</f>
        <v>0</v>
      </c>
      <c r="K27" s="1"/>
      <c r="L27" s="1"/>
    </row>
    <row r="28" spans="1:12" ht="18" customHeight="1" x14ac:dyDescent="0.3">
      <c r="A28" s="2">
        <v>15</v>
      </c>
      <c r="B28" s="17">
        <f>IF(Inputs!$B$49="Yes",0,J27)</f>
        <v>0</v>
      </c>
      <c r="C28" s="4">
        <f>IF(Inputs!$B$49="Yes",0,IF(A28&lt;Inputs!$B$28,Inputs!$B$26/12*B28,PMT(Inputs!$B$26/12,Inputs!$B$27*12,-B28)))</f>
        <v>0</v>
      </c>
      <c r="D28" s="4">
        <f>IF(Inputs!$B$49="Yes",0,B28*Inputs!$B$26/12)</f>
        <v>0</v>
      </c>
      <c r="E28" s="17">
        <f>IF(Inputs!$B$49="Yes",0,MAX(0,C28-D28))</f>
        <v>0</v>
      </c>
      <c r="F28" s="17">
        <f>IF(Inputs!$B$49="Yes",0,MAX(0,B28-E28))</f>
        <v>0</v>
      </c>
      <c r="G28" s="4">
        <f>IF(Inputs!$B$49="Yes",0,IF(A28=Inputs!$B$30,('Operating Expenses'!D17*4)/Inputs!$B$35,0))</f>
        <v>0</v>
      </c>
      <c r="H28" s="4">
        <f>IF(Inputs!$B$49="Yes",0,IF(A28=Inputs!$B$30,G28*Inputs!$B$31,0))</f>
        <v>0</v>
      </c>
      <c r="I28" s="4">
        <f>IF(Inputs!$B$49="Yes",0,IF(A28=Inputs!$B$30,MAX(0,H28-F28),0))</f>
        <v>0</v>
      </c>
      <c r="J28" s="4">
        <f>IF(Inputs!$B$49="Yes",0,IF(A28=Inputs!$B$30,H28,F28))</f>
        <v>0</v>
      </c>
      <c r="K28" s="1"/>
      <c r="L28" s="1"/>
    </row>
    <row r="29" spans="1:12" ht="18" customHeight="1" x14ac:dyDescent="0.3">
      <c r="A29" s="2">
        <v>16</v>
      </c>
      <c r="B29" s="17">
        <f>IF(Inputs!$B$49="Yes",0,J28)</f>
        <v>0</v>
      </c>
      <c r="C29" s="4">
        <f>IF(Inputs!$B$49="Yes",0,IF(A29&lt;Inputs!$B$28,Inputs!$B$26/12*B29,PMT(Inputs!$B$26/12,Inputs!$B$27*12,-B29)))</f>
        <v>0</v>
      </c>
      <c r="D29" s="4">
        <f>IF(Inputs!$B$49="Yes",0,B29*Inputs!$B$26/12)</f>
        <v>0</v>
      </c>
      <c r="E29" s="17">
        <f>IF(Inputs!$B$49="Yes",0,MAX(0,C29-D29))</f>
        <v>0</v>
      </c>
      <c r="F29" s="17">
        <f>IF(Inputs!$B$49="Yes",0,MAX(0,B29-E29))</f>
        <v>0</v>
      </c>
      <c r="G29" s="4">
        <f>IF(Inputs!$B$49="Yes",0,IF(A29=Inputs!$B$30,('Operating Expenses'!D17*4)/Inputs!$B$35,0))</f>
        <v>0</v>
      </c>
      <c r="H29" s="4">
        <f>IF(Inputs!$B$49="Yes",0,IF(A29=Inputs!$B$30,G29*Inputs!$B$31,0))</f>
        <v>0</v>
      </c>
      <c r="I29" s="4">
        <f>IF(Inputs!$B$49="Yes",0,IF(A29=Inputs!$B$30,MAX(0,H29-F29),0))</f>
        <v>0</v>
      </c>
      <c r="J29" s="4">
        <f>IF(Inputs!$B$49="Yes",0,IF(A29=Inputs!$B$30,H29,F29))</f>
        <v>0</v>
      </c>
      <c r="K29" s="1"/>
      <c r="L29" s="1"/>
    </row>
    <row r="30" spans="1:12" ht="18" customHeight="1" x14ac:dyDescent="0.3">
      <c r="A30" s="2">
        <v>17</v>
      </c>
      <c r="B30" s="17">
        <f>IF(Inputs!$B$49="Yes",0,J29)</f>
        <v>0</v>
      </c>
      <c r="C30" s="4">
        <f>IF(Inputs!$B$49="Yes",0,IF(A30&lt;Inputs!$B$28,Inputs!$B$26/12*B30,PMT(Inputs!$B$26/12,Inputs!$B$27*12,-B30)))</f>
        <v>0</v>
      </c>
      <c r="D30" s="4">
        <f>IF(Inputs!$B$49="Yes",0,B30*Inputs!$B$26/12)</f>
        <v>0</v>
      </c>
      <c r="E30" s="17">
        <f>IF(Inputs!$B$49="Yes",0,MAX(0,C30-D30))</f>
        <v>0</v>
      </c>
      <c r="F30" s="17">
        <f>IF(Inputs!$B$49="Yes",0,MAX(0,B30-E30))</f>
        <v>0</v>
      </c>
      <c r="G30" s="4">
        <f>IF(Inputs!$B$49="Yes",0,IF(A30=Inputs!$B$30,('Operating Expenses'!D17*4)/Inputs!$B$35,0))</f>
        <v>0</v>
      </c>
      <c r="H30" s="4">
        <f>IF(Inputs!$B$49="Yes",0,IF(A30=Inputs!$B$30,G30*Inputs!$B$31,0))</f>
        <v>0</v>
      </c>
      <c r="I30" s="4">
        <f>IF(Inputs!$B$49="Yes",0,IF(A30=Inputs!$B$30,MAX(0,H30-F30),0))</f>
        <v>0</v>
      </c>
      <c r="J30" s="4">
        <f>IF(Inputs!$B$49="Yes",0,IF(A30=Inputs!$B$30,H30,F30))</f>
        <v>0</v>
      </c>
      <c r="K30" s="1"/>
      <c r="L30" s="1"/>
    </row>
    <row r="31" spans="1:12" ht="18" customHeight="1" x14ac:dyDescent="0.3">
      <c r="A31" s="2">
        <v>18</v>
      </c>
      <c r="B31" s="17">
        <f>IF(Inputs!$B$49="Yes",0,J30)</f>
        <v>0</v>
      </c>
      <c r="C31" s="4">
        <f>IF(Inputs!$B$49="Yes",0,IF(A31&lt;Inputs!$B$28,Inputs!$B$26/12*B31,PMT(Inputs!$B$26/12,Inputs!$B$27*12,-B31)))</f>
        <v>0</v>
      </c>
      <c r="D31" s="4">
        <f>IF(Inputs!$B$49="Yes",0,B31*Inputs!$B$26/12)</f>
        <v>0</v>
      </c>
      <c r="E31" s="17">
        <f>IF(Inputs!$B$49="Yes",0,MAX(0,C31-D31))</f>
        <v>0</v>
      </c>
      <c r="F31" s="17">
        <f>IF(Inputs!$B$49="Yes",0,MAX(0,B31-E31))</f>
        <v>0</v>
      </c>
      <c r="G31" s="4">
        <f>IF(Inputs!$B$49="Yes",0,IF(A31=Inputs!$B$30,('Operating Expenses'!D17*4)/Inputs!$B$35,0))</f>
        <v>0</v>
      </c>
      <c r="H31" s="4">
        <f>IF(Inputs!$B$49="Yes",0,IF(A31=Inputs!$B$30,G31*Inputs!$B$31,0))</f>
        <v>0</v>
      </c>
      <c r="I31" s="4">
        <f>IF(Inputs!$B$49="Yes",0,IF(A31=Inputs!$B$30,MAX(0,H31-F31),0))</f>
        <v>0</v>
      </c>
      <c r="J31" s="4">
        <f>IF(Inputs!$B$49="Yes",0,IF(A31=Inputs!$B$30,H31,F31))</f>
        <v>0</v>
      </c>
      <c r="K31" s="1"/>
      <c r="L31" s="1"/>
    </row>
    <row r="32" spans="1:12" ht="18" customHeight="1" x14ac:dyDescent="0.3">
      <c r="A32" s="2">
        <v>19</v>
      </c>
      <c r="B32" s="17">
        <f>IF(Inputs!$B$49="Yes",0,J31)</f>
        <v>0</v>
      </c>
      <c r="C32" s="4">
        <f>IF(Inputs!$B$49="Yes",0,IF(A32&lt;Inputs!$B$28,Inputs!$B$26/12*B32,PMT(Inputs!$B$26/12,Inputs!$B$27*12,-B32)))</f>
        <v>0</v>
      </c>
      <c r="D32" s="4">
        <f>IF(Inputs!$B$49="Yes",0,B32*Inputs!$B$26/12)</f>
        <v>0</v>
      </c>
      <c r="E32" s="17">
        <f>IF(Inputs!$B$49="Yes",0,MAX(0,C32-D32))</f>
        <v>0</v>
      </c>
      <c r="F32" s="17">
        <f>IF(Inputs!$B$49="Yes",0,MAX(0,B32-E32))</f>
        <v>0</v>
      </c>
      <c r="G32" s="4">
        <f>IF(Inputs!$B$49="Yes",0,IF(A32=Inputs!$B$30,('Operating Expenses'!D17*4)/Inputs!$B$35,0))</f>
        <v>0</v>
      </c>
      <c r="H32" s="4">
        <f>IF(Inputs!$B$49="Yes",0,IF(A32=Inputs!$B$30,G32*Inputs!$B$31,0))</f>
        <v>0</v>
      </c>
      <c r="I32" s="4">
        <f>IF(Inputs!$B$49="Yes",0,IF(A32=Inputs!$B$30,MAX(0,H32-F32),0))</f>
        <v>0</v>
      </c>
      <c r="J32" s="4">
        <f>IF(Inputs!$B$49="Yes",0,IF(A32=Inputs!$B$30,H32,F32))</f>
        <v>0</v>
      </c>
      <c r="K32" s="1"/>
      <c r="L32" s="1"/>
    </row>
    <row r="33" spans="1:12" ht="18" customHeight="1" x14ac:dyDescent="0.3">
      <c r="A33" s="2">
        <v>20</v>
      </c>
      <c r="B33" s="17">
        <f>IF(Inputs!$B$49="Yes",0,J32)</f>
        <v>0</v>
      </c>
      <c r="C33" s="4">
        <f>IF(Inputs!$B$49="Yes",0,IF(A33&lt;Inputs!$B$28,Inputs!$B$26/12*B33,PMT(Inputs!$B$26/12,Inputs!$B$27*12,-B33)))</f>
        <v>0</v>
      </c>
      <c r="D33" s="4">
        <f>IF(Inputs!$B$49="Yes",0,B33*Inputs!$B$26/12)</f>
        <v>0</v>
      </c>
      <c r="E33" s="17">
        <f>IF(Inputs!$B$49="Yes",0,MAX(0,C33-D33))</f>
        <v>0</v>
      </c>
      <c r="F33" s="17">
        <f>IF(Inputs!$B$49="Yes",0,MAX(0,B33-E33))</f>
        <v>0</v>
      </c>
      <c r="G33" s="4">
        <f>IF(Inputs!$B$49="Yes",0,IF(A33=Inputs!$B$30,('Operating Expenses'!D17*4)/Inputs!$B$35,0))</f>
        <v>0</v>
      </c>
      <c r="H33" s="4">
        <f>IF(Inputs!$B$49="Yes",0,IF(A33=Inputs!$B$30,G33*Inputs!$B$31,0))</f>
        <v>0</v>
      </c>
      <c r="I33" s="4">
        <f>IF(Inputs!$B$49="Yes",0,IF(A33=Inputs!$B$30,MAX(0,H33-F33),0))</f>
        <v>0</v>
      </c>
      <c r="J33" s="4">
        <f>IF(Inputs!$B$49="Yes",0,IF(A33=Inputs!$B$30,H33,F33))</f>
        <v>0</v>
      </c>
      <c r="K33" s="1"/>
      <c r="L33" s="1"/>
    </row>
    <row r="34" spans="1:12" ht="18" customHeight="1" x14ac:dyDescent="0.3">
      <c r="A34" s="2">
        <v>21</v>
      </c>
      <c r="B34" s="17">
        <f>IF(Inputs!$B$49="Yes",0,J33)</f>
        <v>0</v>
      </c>
      <c r="C34" s="4">
        <f>IF(Inputs!$B$49="Yes",0,IF(A34&lt;Inputs!$B$28,Inputs!$B$26/12*B34,PMT(Inputs!$B$26/12,Inputs!$B$27*12,-B34)))</f>
        <v>0</v>
      </c>
      <c r="D34" s="4">
        <f>IF(Inputs!$B$49="Yes",0,B34*Inputs!$B$26/12)</f>
        <v>0</v>
      </c>
      <c r="E34" s="17">
        <f>IF(Inputs!$B$49="Yes",0,MAX(0,C34-D34))</f>
        <v>0</v>
      </c>
      <c r="F34" s="17">
        <f>IF(Inputs!$B$49="Yes",0,MAX(0,B34-E34))</f>
        <v>0</v>
      </c>
      <c r="G34" s="4">
        <f>IF(Inputs!$B$49="Yes",0,IF(A34=Inputs!$B$30,('Operating Expenses'!D17*4)/Inputs!$B$35,0))</f>
        <v>0</v>
      </c>
      <c r="H34" s="4">
        <f>IF(Inputs!$B$49="Yes",0,IF(A34=Inputs!$B$30,G34*Inputs!$B$31,0))</f>
        <v>0</v>
      </c>
      <c r="I34" s="4">
        <f>IF(Inputs!$B$49="Yes",0,IF(A34=Inputs!$B$30,MAX(0,H34-F34),0))</f>
        <v>0</v>
      </c>
      <c r="J34" s="4">
        <f>IF(Inputs!$B$49="Yes",0,IF(A34=Inputs!$B$30,H34,F34))</f>
        <v>0</v>
      </c>
      <c r="K34" s="1"/>
      <c r="L34" s="1"/>
    </row>
    <row r="35" spans="1:12" ht="18" customHeight="1" x14ac:dyDescent="0.3">
      <c r="A35" s="2">
        <v>22</v>
      </c>
      <c r="B35" s="17">
        <f>IF(Inputs!$B$49="Yes",0,J34)</f>
        <v>0</v>
      </c>
      <c r="C35" s="4">
        <f>IF(Inputs!$B$49="Yes",0,IF(A35&lt;Inputs!$B$28,Inputs!$B$26/12*B35,PMT(Inputs!$B$26/12,Inputs!$B$27*12,-B35)))</f>
        <v>0</v>
      </c>
      <c r="D35" s="4">
        <f>IF(Inputs!$B$49="Yes",0,B35*Inputs!$B$26/12)</f>
        <v>0</v>
      </c>
      <c r="E35" s="17">
        <f>IF(Inputs!$B$49="Yes",0,MAX(0,C35-D35))</f>
        <v>0</v>
      </c>
      <c r="F35" s="17">
        <f>IF(Inputs!$B$49="Yes",0,MAX(0,B35-E35))</f>
        <v>0</v>
      </c>
      <c r="G35" s="4">
        <f>IF(Inputs!$B$49="Yes",0,IF(A35=Inputs!$B$30,('Operating Expenses'!D17*4)/Inputs!$B$35,0))</f>
        <v>0</v>
      </c>
      <c r="H35" s="4">
        <f>IF(Inputs!$B$49="Yes",0,IF(A35=Inputs!$B$30,G35*Inputs!$B$31,0))</f>
        <v>0</v>
      </c>
      <c r="I35" s="4">
        <f>IF(Inputs!$B$49="Yes",0,IF(A35=Inputs!$B$30,MAX(0,H35-F35),0))</f>
        <v>0</v>
      </c>
      <c r="J35" s="4">
        <f>IF(Inputs!$B$49="Yes",0,IF(A35=Inputs!$B$30,H35,F35))</f>
        <v>0</v>
      </c>
      <c r="K35" s="1"/>
      <c r="L35" s="1"/>
    </row>
    <row r="36" spans="1:12" ht="18" customHeight="1" x14ac:dyDescent="0.3">
      <c r="A36" s="2">
        <v>23</v>
      </c>
      <c r="B36" s="17">
        <f>IF(Inputs!$B$49="Yes",0,J35)</f>
        <v>0</v>
      </c>
      <c r="C36" s="4">
        <f>IF(Inputs!$B$49="Yes",0,IF(A36&lt;Inputs!$B$28,Inputs!$B$26/12*B36,PMT(Inputs!$B$26/12,Inputs!$B$27*12,-B36)))</f>
        <v>0</v>
      </c>
      <c r="D36" s="4">
        <f>IF(Inputs!$B$49="Yes",0,B36*Inputs!$B$26/12)</f>
        <v>0</v>
      </c>
      <c r="E36" s="17">
        <f>IF(Inputs!$B$49="Yes",0,MAX(0,C36-D36))</f>
        <v>0</v>
      </c>
      <c r="F36" s="17">
        <f>IF(Inputs!$B$49="Yes",0,MAX(0,B36-E36))</f>
        <v>0</v>
      </c>
      <c r="G36" s="4">
        <f>IF(Inputs!$B$49="Yes",0,IF(A36=Inputs!$B$30,('Operating Expenses'!D17*4)/Inputs!$B$35,0))</f>
        <v>0</v>
      </c>
      <c r="H36" s="4">
        <f>IF(Inputs!$B$49="Yes",0,IF(A36=Inputs!$B$30,G36*Inputs!$B$31,0))</f>
        <v>0</v>
      </c>
      <c r="I36" s="4">
        <f>IF(Inputs!$B$49="Yes",0,IF(A36=Inputs!$B$30,MAX(0,H36-F36),0))</f>
        <v>0</v>
      </c>
      <c r="J36" s="4">
        <f>IF(Inputs!$B$49="Yes",0,IF(A36=Inputs!$B$30,H36,F36))</f>
        <v>0</v>
      </c>
      <c r="K36" s="1"/>
      <c r="L36" s="1"/>
    </row>
    <row r="37" spans="1:12" ht="18" customHeight="1" x14ac:dyDescent="0.3">
      <c r="A37" s="2">
        <v>24</v>
      </c>
      <c r="B37" s="17">
        <f>IF(Inputs!$B$49="Yes",0,J36)</f>
        <v>0</v>
      </c>
      <c r="C37" s="4">
        <f>IF(Inputs!$B$49="Yes",0,IF(A37&lt;Inputs!$B$28,Inputs!$B$26/12*B37,PMT(Inputs!$B$26/12,Inputs!$B$27*12,-B37)))</f>
        <v>0</v>
      </c>
      <c r="D37" s="4">
        <f>IF(Inputs!$B$49="Yes",0,B37*Inputs!$B$26/12)</f>
        <v>0</v>
      </c>
      <c r="E37" s="17">
        <f>IF(Inputs!$B$49="Yes",0,MAX(0,C37-D37))</f>
        <v>0</v>
      </c>
      <c r="F37" s="17">
        <f>IF(Inputs!$B$49="Yes",0,MAX(0,B37-E37))</f>
        <v>0</v>
      </c>
      <c r="G37" s="4">
        <f>IF(Inputs!$B$49="Yes",0,IF(A37=Inputs!$B$30,('Operating Expenses'!D17*4)/Inputs!$B$35,0))</f>
        <v>0</v>
      </c>
      <c r="H37" s="4">
        <f>IF(Inputs!$B$49="Yes",0,IF(A37=Inputs!$B$30,G37*Inputs!$B$31,0))</f>
        <v>0</v>
      </c>
      <c r="I37" s="4">
        <f>IF(Inputs!$B$49="Yes",0,IF(A37=Inputs!$B$30,MAX(0,H37-F37),0))</f>
        <v>0</v>
      </c>
      <c r="J37" s="4">
        <f>IF(Inputs!$B$49="Yes",0,IF(A37=Inputs!$B$30,H37,F37))</f>
        <v>0</v>
      </c>
      <c r="K37" s="1"/>
      <c r="L37" s="1"/>
    </row>
    <row r="38" spans="1:12" ht="18" customHeight="1" x14ac:dyDescent="0.3">
      <c r="A38" s="2">
        <v>25</v>
      </c>
      <c r="B38" s="17">
        <f>IF(Inputs!$B$49="Yes",0,J37)</f>
        <v>0</v>
      </c>
      <c r="C38" s="4">
        <f>IF(Inputs!$B$49="Yes",0,IF(A38&lt;Inputs!$B$28,Inputs!$B$26/12*B38,PMT(Inputs!$B$26/12,Inputs!$B$27*12,-B38)))</f>
        <v>0</v>
      </c>
      <c r="D38" s="4">
        <f>IF(Inputs!$B$49="Yes",0,B38*Inputs!$B$26/12)</f>
        <v>0</v>
      </c>
      <c r="E38" s="17">
        <f>IF(Inputs!$B$49="Yes",0,MAX(0,C38-D38))</f>
        <v>0</v>
      </c>
      <c r="F38" s="17">
        <f>IF(Inputs!$B$49="Yes",0,MAX(0,B38-E38))</f>
        <v>0</v>
      </c>
      <c r="G38" s="4">
        <f>IF(Inputs!$B$49="Yes",0,IF(A38=Inputs!$B$30,('Operating Expenses'!D17*4)/Inputs!$B$35,0))</f>
        <v>0</v>
      </c>
      <c r="H38" s="4">
        <f>IF(Inputs!$B$49="Yes",0,IF(A38=Inputs!$B$30,G38*Inputs!$B$31,0))</f>
        <v>0</v>
      </c>
      <c r="I38" s="4">
        <f>IF(Inputs!$B$49="Yes",0,IF(A38=Inputs!$B$30,MAX(0,H38-F38),0))</f>
        <v>0</v>
      </c>
      <c r="J38" s="4">
        <f>IF(Inputs!$B$49="Yes",0,IF(A38=Inputs!$B$30,H38,F38))</f>
        <v>0</v>
      </c>
      <c r="K38" s="1"/>
      <c r="L38" s="1"/>
    </row>
    <row r="39" spans="1:12" ht="18" customHeight="1" x14ac:dyDescent="0.3">
      <c r="A39" s="2">
        <v>26</v>
      </c>
      <c r="B39" s="17">
        <f>IF(Inputs!$B$49="Yes",0,J38)</f>
        <v>0</v>
      </c>
      <c r="C39" s="4">
        <f>IF(Inputs!$B$49="Yes",0,IF(A39&lt;Inputs!$B$28,Inputs!$B$26/12*B39,PMT(Inputs!$B$26/12,Inputs!$B$27*12,-B39)))</f>
        <v>0</v>
      </c>
      <c r="D39" s="4">
        <f>IF(Inputs!$B$49="Yes",0,B39*Inputs!$B$26/12)</f>
        <v>0</v>
      </c>
      <c r="E39" s="17">
        <f>IF(Inputs!$B$49="Yes",0,MAX(0,C39-D39))</f>
        <v>0</v>
      </c>
      <c r="F39" s="17">
        <f>IF(Inputs!$B$49="Yes",0,MAX(0,B39-E39))</f>
        <v>0</v>
      </c>
      <c r="G39" s="4">
        <f>IF(Inputs!$B$49="Yes",0,IF(A39=Inputs!$B$30,('Operating Expenses'!D17*4)/Inputs!$B$35,0))</f>
        <v>0</v>
      </c>
      <c r="H39" s="4">
        <f>IF(Inputs!$B$49="Yes",0,IF(A39=Inputs!$B$30,G39*Inputs!$B$31,0))</f>
        <v>0</v>
      </c>
      <c r="I39" s="4">
        <f>IF(Inputs!$B$49="Yes",0,IF(A39=Inputs!$B$30,MAX(0,H39-F39),0))</f>
        <v>0</v>
      </c>
      <c r="J39" s="4">
        <f>IF(Inputs!$B$49="Yes",0,IF(A39=Inputs!$B$30,H39,F39))</f>
        <v>0</v>
      </c>
      <c r="K39" s="1"/>
      <c r="L39" s="1"/>
    </row>
    <row r="40" spans="1:12" ht="18" customHeight="1" x14ac:dyDescent="0.3">
      <c r="A40" s="2">
        <v>27</v>
      </c>
      <c r="B40" s="17">
        <f>IF(Inputs!$B$49="Yes",0,J39)</f>
        <v>0</v>
      </c>
      <c r="C40" s="4">
        <f>IF(Inputs!$B$49="Yes",0,IF(A40&lt;Inputs!$B$28,Inputs!$B$26/12*B40,PMT(Inputs!$B$26/12,Inputs!$B$27*12,-B40)))</f>
        <v>0</v>
      </c>
      <c r="D40" s="4">
        <f>IF(Inputs!$B$49="Yes",0,B40*Inputs!$B$26/12)</f>
        <v>0</v>
      </c>
      <c r="E40" s="17">
        <f>IF(Inputs!$B$49="Yes",0,MAX(0,C40-D40))</f>
        <v>0</v>
      </c>
      <c r="F40" s="17">
        <f>IF(Inputs!$B$49="Yes",0,MAX(0,B40-E40))</f>
        <v>0</v>
      </c>
      <c r="G40" s="4">
        <f>IF(Inputs!$B$49="Yes",0,IF(A40=Inputs!$B$30,('Operating Expenses'!D17*4)/Inputs!$B$35,0))</f>
        <v>0</v>
      </c>
      <c r="H40" s="4">
        <f>IF(Inputs!$B$49="Yes",0,IF(A40=Inputs!$B$30,G40*Inputs!$B$31,0))</f>
        <v>0</v>
      </c>
      <c r="I40" s="4">
        <f>IF(Inputs!$B$49="Yes",0,IF(A40=Inputs!$B$30,MAX(0,H40-F40),0))</f>
        <v>0</v>
      </c>
      <c r="J40" s="4">
        <f>IF(Inputs!$B$49="Yes",0,IF(A40=Inputs!$B$30,H40,F40))</f>
        <v>0</v>
      </c>
      <c r="K40" s="1"/>
      <c r="L40" s="1"/>
    </row>
    <row r="41" spans="1:12" ht="18" customHeight="1" x14ac:dyDescent="0.3">
      <c r="A41" s="2">
        <v>28</v>
      </c>
      <c r="B41" s="17">
        <f>IF(Inputs!$B$49="Yes",0,J40)</f>
        <v>0</v>
      </c>
      <c r="C41" s="4">
        <f>IF(Inputs!$B$49="Yes",0,IF(A41&lt;Inputs!$B$28,Inputs!$B$26/12*B41,PMT(Inputs!$B$26/12,Inputs!$B$27*12,-B41)))</f>
        <v>0</v>
      </c>
      <c r="D41" s="4">
        <f>IF(Inputs!$B$49="Yes",0,B41*Inputs!$B$26/12)</f>
        <v>0</v>
      </c>
      <c r="E41" s="17">
        <f>IF(Inputs!$B$49="Yes",0,MAX(0,C41-D41))</f>
        <v>0</v>
      </c>
      <c r="F41" s="17">
        <f>IF(Inputs!$B$49="Yes",0,MAX(0,B41-E41))</f>
        <v>0</v>
      </c>
      <c r="G41" s="4">
        <f>IF(Inputs!$B$49="Yes",0,IF(A41=Inputs!$B$30,('Operating Expenses'!D17*4)/Inputs!$B$35,0))</f>
        <v>0</v>
      </c>
      <c r="H41" s="4">
        <f>IF(Inputs!$B$49="Yes",0,IF(A41=Inputs!$B$30,G41*Inputs!$B$31,0))</f>
        <v>0</v>
      </c>
      <c r="I41" s="4">
        <f>IF(Inputs!$B$49="Yes",0,IF(A41=Inputs!$B$30,MAX(0,H41-F41),0))</f>
        <v>0</v>
      </c>
      <c r="J41" s="4">
        <f>IF(Inputs!$B$49="Yes",0,IF(A41=Inputs!$B$30,H41,F41))</f>
        <v>0</v>
      </c>
      <c r="K41" s="1"/>
      <c r="L41" s="1"/>
    </row>
    <row r="42" spans="1:12" ht="18" customHeight="1" x14ac:dyDescent="0.3">
      <c r="A42" s="2">
        <v>29</v>
      </c>
      <c r="B42" s="17">
        <f>IF(Inputs!$B$49="Yes",0,J41)</f>
        <v>0</v>
      </c>
      <c r="C42" s="4">
        <f>IF(Inputs!$B$49="Yes",0,IF(A42&lt;Inputs!$B$28,Inputs!$B$26/12*B42,PMT(Inputs!$B$26/12,Inputs!$B$27*12,-B42)))</f>
        <v>0</v>
      </c>
      <c r="D42" s="4">
        <f>IF(Inputs!$B$49="Yes",0,B42*Inputs!$B$26/12)</f>
        <v>0</v>
      </c>
      <c r="E42" s="17">
        <f>IF(Inputs!$B$49="Yes",0,MAX(0,C42-D42))</f>
        <v>0</v>
      </c>
      <c r="F42" s="17">
        <f>IF(Inputs!$B$49="Yes",0,MAX(0,B42-E42))</f>
        <v>0</v>
      </c>
      <c r="G42" s="4">
        <f>IF(Inputs!$B$49="Yes",0,IF(A42=Inputs!$B$30,('Operating Expenses'!D17*4)/Inputs!$B$35,0))</f>
        <v>0</v>
      </c>
      <c r="H42" s="4">
        <f>IF(Inputs!$B$49="Yes",0,IF(A42=Inputs!$B$30,G42*Inputs!$B$31,0))</f>
        <v>0</v>
      </c>
      <c r="I42" s="4">
        <f>IF(Inputs!$B$49="Yes",0,IF(A42=Inputs!$B$30,MAX(0,H42-F42),0))</f>
        <v>0</v>
      </c>
      <c r="J42" s="4">
        <f>IF(Inputs!$B$49="Yes",0,IF(A42=Inputs!$B$30,H42,F42))</f>
        <v>0</v>
      </c>
      <c r="K42" s="1"/>
      <c r="L42" s="1"/>
    </row>
    <row r="43" spans="1:12" ht="18" customHeight="1" x14ac:dyDescent="0.3">
      <c r="A43" s="2">
        <v>30</v>
      </c>
      <c r="B43" s="17">
        <f>IF(Inputs!$B$49="Yes",0,J42)</f>
        <v>0</v>
      </c>
      <c r="C43" s="4">
        <f>IF(Inputs!$B$49="Yes",0,IF(A43&lt;Inputs!$B$28,Inputs!$B$26/12*B43,PMT(Inputs!$B$26/12,Inputs!$B$27*12,-B43)))</f>
        <v>0</v>
      </c>
      <c r="D43" s="4">
        <f>IF(Inputs!$B$49="Yes",0,B43*Inputs!$B$26/12)</f>
        <v>0</v>
      </c>
      <c r="E43" s="17">
        <f>IF(Inputs!$B$49="Yes",0,MAX(0,C43-D43))</f>
        <v>0</v>
      </c>
      <c r="F43" s="17">
        <f>IF(Inputs!$B$49="Yes",0,MAX(0,B43-E43))</f>
        <v>0</v>
      </c>
      <c r="G43" s="4">
        <f>IF(Inputs!$B$49="Yes",0,IF(A43=Inputs!$B$30,('Operating Expenses'!D17*4)/Inputs!$B$35,0))</f>
        <v>0</v>
      </c>
      <c r="H43" s="4">
        <f>IF(Inputs!$B$49="Yes",0,IF(A43=Inputs!$B$30,G43*Inputs!$B$31,0))</f>
        <v>0</v>
      </c>
      <c r="I43" s="4">
        <f>IF(Inputs!$B$49="Yes",0,IF(A43=Inputs!$B$30,MAX(0,H43-F43),0))</f>
        <v>0</v>
      </c>
      <c r="J43" s="4">
        <f>IF(Inputs!$B$49="Yes",0,IF(A43=Inputs!$B$30,H43,F43))</f>
        <v>0</v>
      </c>
      <c r="K43" s="1"/>
      <c r="L43" s="1"/>
    </row>
    <row r="44" spans="1:12" ht="18" customHeight="1" x14ac:dyDescent="0.3">
      <c r="A44" s="2">
        <v>31</v>
      </c>
      <c r="B44" s="17">
        <f>IF(Inputs!$B$49="Yes",0,J43)</f>
        <v>0</v>
      </c>
      <c r="C44" s="4">
        <f>IF(Inputs!$B$49="Yes",0,IF(A44&lt;Inputs!$B$28,Inputs!$B$26/12*B44,PMT(Inputs!$B$26/12,Inputs!$B$27*12,-B44)))</f>
        <v>0</v>
      </c>
      <c r="D44" s="4">
        <f>IF(Inputs!$B$49="Yes",0,B44*Inputs!$B$26/12)</f>
        <v>0</v>
      </c>
      <c r="E44" s="17">
        <f>IF(Inputs!$B$49="Yes",0,MAX(0,C44-D44))</f>
        <v>0</v>
      </c>
      <c r="F44" s="17">
        <f>IF(Inputs!$B$49="Yes",0,MAX(0,B44-E44))</f>
        <v>0</v>
      </c>
      <c r="G44" s="4">
        <f>IF(Inputs!$B$49="Yes",0,IF(A44=Inputs!$B$30,('Operating Expenses'!D17*4)/Inputs!$B$35,0))</f>
        <v>0</v>
      </c>
      <c r="H44" s="4">
        <f>IF(Inputs!$B$49="Yes",0,IF(A44=Inputs!$B$30,G44*Inputs!$B$31,0))</f>
        <v>0</v>
      </c>
      <c r="I44" s="4">
        <f>IF(Inputs!$B$49="Yes",0,IF(A44=Inputs!$B$30,MAX(0,H44-F44),0))</f>
        <v>0</v>
      </c>
      <c r="J44" s="4">
        <f>IF(Inputs!$B$49="Yes",0,IF(A44=Inputs!$B$30,H44,F44))</f>
        <v>0</v>
      </c>
      <c r="K44" s="1"/>
      <c r="L44" s="1"/>
    </row>
    <row r="45" spans="1:12" ht="18" customHeight="1" x14ac:dyDescent="0.3">
      <c r="A45" s="2">
        <v>32</v>
      </c>
      <c r="B45" s="17">
        <f>IF(Inputs!$B$49="Yes",0,J44)</f>
        <v>0</v>
      </c>
      <c r="C45" s="4">
        <f>IF(Inputs!$B$49="Yes",0,IF(A45&lt;Inputs!$B$28,Inputs!$B$26/12*B45,PMT(Inputs!$B$26/12,Inputs!$B$27*12,-B45)))</f>
        <v>0</v>
      </c>
      <c r="D45" s="4">
        <f>IF(Inputs!$B$49="Yes",0,B45*Inputs!$B$26/12)</f>
        <v>0</v>
      </c>
      <c r="E45" s="17">
        <f>IF(Inputs!$B$49="Yes",0,MAX(0,C45-D45))</f>
        <v>0</v>
      </c>
      <c r="F45" s="17">
        <f>IF(Inputs!$B$49="Yes",0,MAX(0,B45-E45))</f>
        <v>0</v>
      </c>
      <c r="G45" s="4">
        <f>IF(Inputs!$B$49="Yes",0,IF(A45=Inputs!$B$30,('Operating Expenses'!D17*4)/Inputs!$B$35,0))</f>
        <v>0</v>
      </c>
      <c r="H45" s="4">
        <f>IF(Inputs!$B$49="Yes",0,IF(A45=Inputs!$B$30,G45*Inputs!$B$31,0))</f>
        <v>0</v>
      </c>
      <c r="I45" s="4">
        <f>IF(Inputs!$B$49="Yes",0,IF(A45=Inputs!$B$30,MAX(0,H45-F45),0))</f>
        <v>0</v>
      </c>
      <c r="J45" s="4">
        <f>IF(Inputs!$B$49="Yes",0,IF(A45=Inputs!$B$30,H45,F45))</f>
        <v>0</v>
      </c>
      <c r="K45" s="1"/>
      <c r="L45" s="1"/>
    </row>
    <row r="46" spans="1:12" ht="18" customHeight="1" x14ac:dyDescent="0.3">
      <c r="A46" s="2">
        <v>33</v>
      </c>
      <c r="B46" s="17">
        <f>IF(Inputs!$B$49="Yes",0,J45)</f>
        <v>0</v>
      </c>
      <c r="C46" s="4">
        <f>IF(Inputs!$B$49="Yes",0,IF(A46&lt;Inputs!$B$28,Inputs!$B$26/12*B46,PMT(Inputs!$B$26/12,Inputs!$B$27*12,-B46)))</f>
        <v>0</v>
      </c>
      <c r="D46" s="4">
        <f>IF(Inputs!$B$49="Yes",0,B46*Inputs!$B$26/12)</f>
        <v>0</v>
      </c>
      <c r="E46" s="17">
        <f>IF(Inputs!$B$49="Yes",0,MAX(0,C46-D46))</f>
        <v>0</v>
      </c>
      <c r="F46" s="17">
        <f>IF(Inputs!$B$49="Yes",0,MAX(0,B46-E46))</f>
        <v>0</v>
      </c>
      <c r="G46" s="4">
        <f>IF(Inputs!$B$49="Yes",0,IF(A46=Inputs!$B$30,('Operating Expenses'!D17*4)/Inputs!$B$35,0))</f>
        <v>0</v>
      </c>
      <c r="H46" s="4">
        <f>IF(Inputs!$B$49="Yes",0,IF(A46=Inputs!$B$30,G46*Inputs!$B$31,0))</f>
        <v>0</v>
      </c>
      <c r="I46" s="4">
        <f>IF(Inputs!$B$49="Yes",0,IF(A46=Inputs!$B$30,MAX(0,H46-F46),0))</f>
        <v>0</v>
      </c>
      <c r="J46" s="4">
        <f>IF(Inputs!$B$49="Yes",0,IF(A46=Inputs!$B$30,H46,F46))</f>
        <v>0</v>
      </c>
      <c r="K46" s="1"/>
      <c r="L46" s="1"/>
    </row>
    <row r="47" spans="1:12" ht="18" customHeight="1" x14ac:dyDescent="0.3">
      <c r="A47" s="2">
        <v>34</v>
      </c>
      <c r="B47" s="17">
        <f>IF(Inputs!$B$49="Yes",0,J46)</f>
        <v>0</v>
      </c>
      <c r="C47" s="4">
        <f>IF(Inputs!$B$49="Yes",0,IF(A47&lt;Inputs!$B$28,Inputs!$B$26/12*B47,PMT(Inputs!$B$26/12,Inputs!$B$27*12,-B47)))</f>
        <v>0</v>
      </c>
      <c r="D47" s="4">
        <f>IF(Inputs!$B$49="Yes",0,B47*Inputs!$B$26/12)</f>
        <v>0</v>
      </c>
      <c r="E47" s="17">
        <f>IF(Inputs!$B$49="Yes",0,MAX(0,C47-D47))</f>
        <v>0</v>
      </c>
      <c r="F47" s="17">
        <f>IF(Inputs!$B$49="Yes",0,MAX(0,B47-E47))</f>
        <v>0</v>
      </c>
      <c r="G47" s="4">
        <f>IF(Inputs!$B$49="Yes",0,IF(A47=Inputs!$B$30,('Operating Expenses'!D17*4)/Inputs!$B$35,0))</f>
        <v>0</v>
      </c>
      <c r="H47" s="4">
        <f>IF(Inputs!$B$49="Yes",0,IF(A47=Inputs!$B$30,G47*Inputs!$B$31,0))</f>
        <v>0</v>
      </c>
      <c r="I47" s="4">
        <f>IF(Inputs!$B$49="Yes",0,IF(A47=Inputs!$B$30,MAX(0,H47-F47),0))</f>
        <v>0</v>
      </c>
      <c r="J47" s="4">
        <f>IF(Inputs!$B$49="Yes",0,IF(A47=Inputs!$B$30,H47,F47))</f>
        <v>0</v>
      </c>
      <c r="K47" s="1"/>
      <c r="L47" s="1"/>
    </row>
    <row r="48" spans="1:12" ht="18" customHeight="1" x14ac:dyDescent="0.3">
      <c r="A48" s="2">
        <v>35</v>
      </c>
      <c r="B48" s="17">
        <f>IF(Inputs!$B$49="Yes",0,J47)</f>
        <v>0</v>
      </c>
      <c r="C48" s="4">
        <f>IF(Inputs!$B$49="Yes",0,IF(A48&lt;Inputs!$B$28,Inputs!$B$26/12*B48,PMT(Inputs!$B$26/12,Inputs!$B$27*12,-B48)))</f>
        <v>0</v>
      </c>
      <c r="D48" s="4">
        <f>IF(Inputs!$B$49="Yes",0,B48*Inputs!$B$26/12)</f>
        <v>0</v>
      </c>
      <c r="E48" s="17">
        <f>IF(Inputs!$B$49="Yes",0,MAX(0,C48-D48))</f>
        <v>0</v>
      </c>
      <c r="F48" s="17">
        <f>IF(Inputs!$B$49="Yes",0,MAX(0,B48-E48))</f>
        <v>0</v>
      </c>
      <c r="G48" s="4">
        <f>IF(Inputs!$B$49="Yes",0,IF(A48=Inputs!$B$30,('Operating Expenses'!D17*4)/Inputs!$B$35,0))</f>
        <v>0</v>
      </c>
      <c r="H48" s="4">
        <f>IF(Inputs!$B$49="Yes",0,IF(A48=Inputs!$B$30,G48*Inputs!$B$31,0))</f>
        <v>0</v>
      </c>
      <c r="I48" s="4">
        <f>IF(Inputs!$B$49="Yes",0,IF(A48=Inputs!$B$30,MAX(0,H48-F48),0))</f>
        <v>0</v>
      </c>
      <c r="J48" s="4">
        <f>IF(Inputs!$B$49="Yes",0,IF(A48=Inputs!$B$30,H48,F48))</f>
        <v>0</v>
      </c>
      <c r="K48" s="1"/>
      <c r="L48" s="1"/>
    </row>
    <row r="49" spans="1:12" ht="18" customHeight="1" x14ac:dyDescent="0.3">
      <c r="A49" s="2">
        <v>36</v>
      </c>
      <c r="B49" s="17">
        <f>IF(Inputs!$B$49="Yes",0,J48)</f>
        <v>0</v>
      </c>
      <c r="C49" s="4">
        <f>IF(Inputs!$B$49="Yes",0,IF(A49&lt;Inputs!$B$28,Inputs!$B$26/12*B49,PMT(Inputs!$B$26/12,Inputs!$B$27*12,-B49)))</f>
        <v>0</v>
      </c>
      <c r="D49" s="4">
        <f>IF(Inputs!$B$49="Yes",0,B49*Inputs!$B$26/12)</f>
        <v>0</v>
      </c>
      <c r="E49" s="17">
        <f>IF(Inputs!$B$49="Yes",0,MAX(0,C49-D49))</f>
        <v>0</v>
      </c>
      <c r="F49" s="17">
        <f>IF(Inputs!$B$49="Yes",0,MAX(0,B49-E49))</f>
        <v>0</v>
      </c>
      <c r="G49" s="4">
        <f>IF(Inputs!$B$49="Yes",0,IF(A49=Inputs!$B$30,('Operating Expenses'!D17*4)/Inputs!$B$35,0))</f>
        <v>0</v>
      </c>
      <c r="H49" s="4">
        <f>IF(Inputs!$B$49="Yes",0,IF(A49=Inputs!$B$30,G49*Inputs!$B$31,0))</f>
        <v>0</v>
      </c>
      <c r="I49" s="4">
        <f>IF(Inputs!$B$49="Yes",0,IF(A49=Inputs!$B$30,MAX(0,H49-F49),0))</f>
        <v>0</v>
      </c>
      <c r="J49" s="4">
        <f>IF(Inputs!$B$49="Yes",0,IF(A49=Inputs!$B$30,H49,F49))</f>
        <v>0</v>
      </c>
      <c r="K49" s="1"/>
      <c r="L49" s="1"/>
    </row>
    <row r="50" spans="1:12" ht="18" customHeight="1" x14ac:dyDescent="0.3">
      <c r="A50" s="2">
        <v>37</v>
      </c>
      <c r="B50" s="17">
        <f>IF(Inputs!$B$49="Yes",0,J49)</f>
        <v>0</v>
      </c>
      <c r="C50" s="4">
        <f>IF(Inputs!$B$49="Yes",0,IF(A50&lt;Inputs!$B$28,Inputs!$B$26/12*B50,PMT(Inputs!$B$26/12,Inputs!$B$27*12,-B50)))</f>
        <v>0</v>
      </c>
      <c r="D50" s="4">
        <f>IF(Inputs!$B$49="Yes",0,B50*Inputs!$B$26/12)</f>
        <v>0</v>
      </c>
      <c r="E50" s="17">
        <f>IF(Inputs!$B$49="Yes",0,MAX(0,C50-D50))</f>
        <v>0</v>
      </c>
      <c r="F50" s="17">
        <f>IF(Inputs!$B$49="Yes",0,MAX(0,B50-E50))</f>
        <v>0</v>
      </c>
      <c r="G50" s="4">
        <f>IF(Inputs!$B$49="Yes",0,IF(A50=Inputs!$B$30,('Operating Expenses'!D17*4)/Inputs!$B$35,0))</f>
        <v>0</v>
      </c>
      <c r="H50" s="4">
        <f>IF(Inputs!$B$49="Yes",0,IF(A50=Inputs!$B$30,G50*Inputs!$B$31,0))</f>
        <v>0</v>
      </c>
      <c r="I50" s="4">
        <f>IF(Inputs!$B$49="Yes",0,IF(A50=Inputs!$B$30,MAX(0,H50-F50),0))</f>
        <v>0</v>
      </c>
      <c r="J50" s="4">
        <f>IF(Inputs!$B$49="Yes",0,IF(A50=Inputs!$B$30,H50,F50))</f>
        <v>0</v>
      </c>
      <c r="K50" s="1"/>
      <c r="L50" s="1"/>
    </row>
    <row r="51" spans="1:12" ht="18" customHeight="1" x14ac:dyDescent="0.3">
      <c r="A51" s="2">
        <v>38</v>
      </c>
      <c r="B51" s="17">
        <f>IF(Inputs!$B$49="Yes",0,J50)</f>
        <v>0</v>
      </c>
      <c r="C51" s="4">
        <f>IF(Inputs!$B$49="Yes",0,IF(A51&lt;Inputs!$B$28,Inputs!$B$26/12*B51,PMT(Inputs!$B$26/12,Inputs!$B$27*12,-B51)))</f>
        <v>0</v>
      </c>
      <c r="D51" s="4">
        <f>IF(Inputs!$B$49="Yes",0,B51*Inputs!$B$26/12)</f>
        <v>0</v>
      </c>
      <c r="E51" s="17">
        <f>IF(Inputs!$B$49="Yes",0,MAX(0,C51-D51))</f>
        <v>0</v>
      </c>
      <c r="F51" s="17">
        <f>IF(Inputs!$B$49="Yes",0,MAX(0,B51-E51))</f>
        <v>0</v>
      </c>
      <c r="G51" s="4">
        <f>IF(Inputs!$B$49="Yes",0,IF(A51=Inputs!$B$30,('Operating Expenses'!D17*4)/Inputs!$B$35,0))</f>
        <v>0</v>
      </c>
      <c r="H51" s="4">
        <f>IF(Inputs!$B$49="Yes",0,IF(A51=Inputs!$B$30,G51*Inputs!$B$31,0))</f>
        <v>0</v>
      </c>
      <c r="I51" s="4">
        <f>IF(Inputs!$B$49="Yes",0,IF(A51=Inputs!$B$30,MAX(0,H51-F51),0))</f>
        <v>0</v>
      </c>
      <c r="J51" s="4">
        <f>IF(Inputs!$B$49="Yes",0,IF(A51=Inputs!$B$30,H51,F51))</f>
        <v>0</v>
      </c>
      <c r="K51" s="1"/>
      <c r="L51" s="1"/>
    </row>
    <row r="52" spans="1:12" ht="18" customHeight="1" x14ac:dyDescent="0.3">
      <c r="A52" s="2">
        <v>39</v>
      </c>
      <c r="B52" s="17">
        <f>IF(Inputs!$B$49="Yes",0,J51)</f>
        <v>0</v>
      </c>
      <c r="C52" s="4">
        <f>IF(Inputs!$B$49="Yes",0,IF(A52&lt;Inputs!$B$28,Inputs!$B$26/12*B52,PMT(Inputs!$B$26/12,Inputs!$B$27*12,-B52)))</f>
        <v>0</v>
      </c>
      <c r="D52" s="4">
        <f>IF(Inputs!$B$49="Yes",0,B52*Inputs!$B$26/12)</f>
        <v>0</v>
      </c>
      <c r="E52" s="17">
        <f>IF(Inputs!$B$49="Yes",0,MAX(0,C52-D52))</f>
        <v>0</v>
      </c>
      <c r="F52" s="17">
        <f>IF(Inputs!$B$49="Yes",0,MAX(0,B52-E52))</f>
        <v>0</v>
      </c>
      <c r="G52" s="4">
        <f>IF(Inputs!$B$49="Yes",0,IF(A52=Inputs!$B$30,('Operating Expenses'!D17*4)/Inputs!$B$35,0))</f>
        <v>0</v>
      </c>
      <c r="H52" s="4">
        <f>IF(Inputs!$B$49="Yes",0,IF(A52=Inputs!$B$30,G52*Inputs!$B$31,0))</f>
        <v>0</v>
      </c>
      <c r="I52" s="4">
        <f>IF(Inputs!$B$49="Yes",0,IF(A52=Inputs!$B$30,MAX(0,H52-F52),0))</f>
        <v>0</v>
      </c>
      <c r="J52" s="4">
        <f>IF(Inputs!$B$49="Yes",0,IF(A52=Inputs!$B$30,H52,F52))</f>
        <v>0</v>
      </c>
      <c r="K52" s="1"/>
      <c r="L52" s="1"/>
    </row>
    <row r="53" spans="1:12" ht="18" customHeight="1" x14ac:dyDescent="0.3">
      <c r="A53" s="2">
        <v>40</v>
      </c>
      <c r="B53" s="17">
        <f>IF(Inputs!$B$49="Yes",0,J52)</f>
        <v>0</v>
      </c>
      <c r="C53" s="4">
        <f>IF(Inputs!$B$49="Yes",0,IF(A53&lt;Inputs!$B$28,Inputs!$B$26/12*B53,PMT(Inputs!$B$26/12,Inputs!$B$27*12,-B53)))</f>
        <v>0</v>
      </c>
      <c r="D53" s="4">
        <f>IF(Inputs!$B$49="Yes",0,B53*Inputs!$B$26/12)</f>
        <v>0</v>
      </c>
      <c r="E53" s="17">
        <f>IF(Inputs!$B$49="Yes",0,MAX(0,C53-D53))</f>
        <v>0</v>
      </c>
      <c r="F53" s="17">
        <f>IF(Inputs!$B$49="Yes",0,MAX(0,B53-E53))</f>
        <v>0</v>
      </c>
      <c r="G53" s="4">
        <f>IF(Inputs!$B$49="Yes",0,IF(A53=Inputs!$B$30,('Operating Expenses'!D17*4)/Inputs!$B$35,0))</f>
        <v>0</v>
      </c>
      <c r="H53" s="4">
        <f>IF(Inputs!$B$49="Yes",0,IF(A53=Inputs!$B$30,G53*Inputs!$B$31,0))</f>
        <v>0</v>
      </c>
      <c r="I53" s="4">
        <f>IF(Inputs!$B$49="Yes",0,IF(A53=Inputs!$B$30,MAX(0,H53-F53),0))</f>
        <v>0</v>
      </c>
      <c r="J53" s="4">
        <f>IF(Inputs!$B$49="Yes",0,IF(A53=Inputs!$B$30,H53,F53))</f>
        <v>0</v>
      </c>
      <c r="K53" s="1"/>
      <c r="L53" s="1"/>
    </row>
    <row r="54" spans="1:12" ht="18" customHeight="1" x14ac:dyDescent="0.3">
      <c r="A54" s="2">
        <v>41</v>
      </c>
      <c r="B54" s="17">
        <f>IF(Inputs!$B$49="Yes",0,J53)</f>
        <v>0</v>
      </c>
      <c r="C54" s="4">
        <f>IF(Inputs!$B$49="Yes",0,IF(A54&lt;Inputs!$B$28,Inputs!$B$26/12*B54,PMT(Inputs!$B$26/12,Inputs!$B$27*12,-B54)))</f>
        <v>0</v>
      </c>
      <c r="D54" s="4">
        <f>IF(Inputs!$B$49="Yes",0,B54*Inputs!$B$26/12)</f>
        <v>0</v>
      </c>
      <c r="E54" s="17">
        <f>IF(Inputs!$B$49="Yes",0,MAX(0,C54-D54))</f>
        <v>0</v>
      </c>
      <c r="F54" s="17">
        <f>IF(Inputs!$B$49="Yes",0,MAX(0,B54-E54))</f>
        <v>0</v>
      </c>
      <c r="G54" s="4">
        <f>IF(Inputs!$B$49="Yes",0,IF(A54=Inputs!$B$30,('Operating Expenses'!D17*4)/Inputs!$B$35,0))</f>
        <v>0</v>
      </c>
      <c r="H54" s="4">
        <f>IF(Inputs!$B$49="Yes",0,IF(A54=Inputs!$B$30,G54*Inputs!$B$31,0))</f>
        <v>0</v>
      </c>
      <c r="I54" s="4">
        <f>IF(Inputs!$B$49="Yes",0,IF(A54=Inputs!$B$30,MAX(0,H54-F54),0))</f>
        <v>0</v>
      </c>
      <c r="J54" s="4">
        <f>IF(Inputs!$B$49="Yes",0,IF(A54=Inputs!$B$30,H54,F54))</f>
        <v>0</v>
      </c>
      <c r="K54" s="1"/>
      <c r="L54" s="1"/>
    </row>
    <row r="55" spans="1:12" ht="18" customHeight="1" x14ac:dyDescent="0.3">
      <c r="A55" s="2">
        <v>42</v>
      </c>
      <c r="B55" s="17">
        <f>IF(Inputs!$B$49="Yes",0,J54)</f>
        <v>0</v>
      </c>
      <c r="C55" s="4">
        <f>IF(Inputs!$B$49="Yes",0,IF(A55&lt;Inputs!$B$28,Inputs!$B$26/12*B55,PMT(Inputs!$B$26/12,Inputs!$B$27*12,-B55)))</f>
        <v>0</v>
      </c>
      <c r="D55" s="4">
        <f>IF(Inputs!$B$49="Yes",0,B55*Inputs!$B$26/12)</f>
        <v>0</v>
      </c>
      <c r="E55" s="17">
        <f>IF(Inputs!$B$49="Yes",0,MAX(0,C55-D55))</f>
        <v>0</v>
      </c>
      <c r="F55" s="17">
        <f>IF(Inputs!$B$49="Yes",0,MAX(0,B55-E55))</f>
        <v>0</v>
      </c>
      <c r="G55" s="4">
        <f>IF(Inputs!$B$49="Yes",0,IF(A55=Inputs!$B$30,('Operating Expenses'!D17*4)/Inputs!$B$35,0))</f>
        <v>0</v>
      </c>
      <c r="H55" s="4">
        <f>IF(Inputs!$B$49="Yes",0,IF(A55=Inputs!$B$30,G55*Inputs!$B$31,0))</f>
        <v>0</v>
      </c>
      <c r="I55" s="4">
        <f>IF(Inputs!$B$49="Yes",0,IF(A55=Inputs!$B$30,MAX(0,H55-F55),0))</f>
        <v>0</v>
      </c>
      <c r="J55" s="4">
        <f>IF(Inputs!$B$49="Yes",0,IF(A55=Inputs!$B$30,H55,F55))</f>
        <v>0</v>
      </c>
      <c r="K55" s="1"/>
      <c r="L55" s="1"/>
    </row>
    <row r="56" spans="1:12" ht="18" customHeight="1" x14ac:dyDescent="0.3">
      <c r="A56" s="2">
        <v>43</v>
      </c>
      <c r="B56" s="17">
        <f>IF(Inputs!$B$49="Yes",0,J55)</f>
        <v>0</v>
      </c>
      <c r="C56" s="4">
        <f>IF(Inputs!$B$49="Yes",0,IF(A56&lt;Inputs!$B$28,Inputs!$B$26/12*B56,PMT(Inputs!$B$26/12,Inputs!$B$27*12,-B56)))</f>
        <v>0</v>
      </c>
      <c r="D56" s="4">
        <f>IF(Inputs!$B$49="Yes",0,B56*Inputs!$B$26/12)</f>
        <v>0</v>
      </c>
      <c r="E56" s="17">
        <f>IF(Inputs!$B$49="Yes",0,MAX(0,C56-D56))</f>
        <v>0</v>
      </c>
      <c r="F56" s="17">
        <f>IF(Inputs!$B$49="Yes",0,MAX(0,B56-E56))</f>
        <v>0</v>
      </c>
      <c r="G56" s="4">
        <f>IF(Inputs!$B$49="Yes",0,IF(A56=Inputs!$B$30,('Operating Expenses'!D17*4)/Inputs!$B$35,0))</f>
        <v>0</v>
      </c>
      <c r="H56" s="4">
        <f>IF(Inputs!$B$49="Yes",0,IF(A56=Inputs!$B$30,G56*Inputs!$B$31,0))</f>
        <v>0</v>
      </c>
      <c r="I56" s="4">
        <f>IF(Inputs!$B$49="Yes",0,IF(A56=Inputs!$B$30,MAX(0,H56-F56),0))</f>
        <v>0</v>
      </c>
      <c r="J56" s="4">
        <f>IF(Inputs!$B$49="Yes",0,IF(A56=Inputs!$B$30,H56,F56))</f>
        <v>0</v>
      </c>
      <c r="K56" s="1"/>
      <c r="L56" s="1"/>
    </row>
    <row r="57" spans="1:12" ht="18" customHeight="1" x14ac:dyDescent="0.3">
      <c r="A57" s="2">
        <v>44</v>
      </c>
      <c r="B57" s="17">
        <f>IF(Inputs!$B$49="Yes",0,J56)</f>
        <v>0</v>
      </c>
      <c r="C57" s="4">
        <f>IF(Inputs!$B$49="Yes",0,IF(A57&lt;Inputs!$B$28,Inputs!$B$26/12*B57,PMT(Inputs!$B$26/12,Inputs!$B$27*12,-B57)))</f>
        <v>0</v>
      </c>
      <c r="D57" s="4">
        <f>IF(Inputs!$B$49="Yes",0,B57*Inputs!$B$26/12)</f>
        <v>0</v>
      </c>
      <c r="E57" s="17">
        <f>IF(Inputs!$B$49="Yes",0,MAX(0,C57-D57))</f>
        <v>0</v>
      </c>
      <c r="F57" s="17">
        <f>IF(Inputs!$B$49="Yes",0,MAX(0,B57-E57))</f>
        <v>0</v>
      </c>
      <c r="G57" s="4">
        <f>IF(Inputs!$B$49="Yes",0,IF(A57=Inputs!$B$30,('Operating Expenses'!D17*4)/Inputs!$B$35,0))</f>
        <v>0</v>
      </c>
      <c r="H57" s="4">
        <f>IF(Inputs!$B$49="Yes",0,IF(A57=Inputs!$B$30,G57*Inputs!$B$31,0))</f>
        <v>0</v>
      </c>
      <c r="I57" s="4">
        <f>IF(Inputs!$B$49="Yes",0,IF(A57=Inputs!$B$30,MAX(0,H57-F57),0))</f>
        <v>0</v>
      </c>
      <c r="J57" s="4">
        <f>IF(Inputs!$B$49="Yes",0,IF(A57=Inputs!$B$30,H57,F57))</f>
        <v>0</v>
      </c>
      <c r="K57" s="1"/>
      <c r="L57" s="1"/>
    </row>
    <row r="58" spans="1:12" ht="18" customHeight="1" x14ac:dyDescent="0.3">
      <c r="A58" s="2">
        <v>45</v>
      </c>
      <c r="B58" s="17">
        <f>IF(Inputs!$B$49="Yes",0,J57)</f>
        <v>0</v>
      </c>
      <c r="C58" s="4">
        <f>IF(Inputs!$B$49="Yes",0,IF(A58&lt;Inputs!$B$28,Inputs!$B$26/12*B58,PMT(Inputs!$B$26/12,Inputs!$B$27*12,-B58)))</f>
        <v>0</v>
      </c>
      <c r="D58" s="4">
        <f>IF(Inputs!$B$49="Yes",0,B58*Inputs!$B$26/12)</f>
        <v>0</v>
      </c>
      <c r="E58" s="17">
        <f>IF(Inputs!$B$49="Yes",0,MAX(0,C58-D58))</f>
        <v>0</v>
      </c>
      <c r="F58" s="17">
        <f>IF(Inputs!$B$49="Yes",0,MAX(0,B58-E58))</f>
        <v>0</v>
      </c>
      <c r="G58" s="4">
        <f>IF(Inputs!$B$49="Yes",0,IF(A58=Inputs!$B$30,('Operating Expenses'!D17*4)/Inputs!$B$35,0))</f>
        <v>0</v>
      </c>
      <c r="H58" s="4">
        <f>IF(Inputs!$B$49="Yes",0,IF(A58=Inputs!$B$30,G58*Inputs!$B$31,0))</f>
        <v>0</v>
      </c>
      <c r="I58" s="4">
        <f>IF(Inputs!$B$49="Yes",0,IF(A58=Inputs!$B$30,MAX(0,H58-F58),0))</f>
        <v>0</v>
      </c>
      <c r="J58" s="4">
        <f>IF(Inputs!$B$49="Yes",0,IF(A58=Inputs!$B$30,H58,F58))</f>
        <v>0</v>
      </c>
      <c r="K58" s="1"/>
      <c r="L58" s="1"/>
    </row>
    <row r="59" spans="1:12" ht="18" customHeight="1" x14ac:dyDescent="0.3">
      <c r="A59" s="2">
        <v>46</v>
      </c>
      <c r="B59" s="17">
        <f>IF(Inputs!$B$49="Yes",0,J58)</f>
        <v>0</v>
      </c>
      <c r="C59" s="4">
        <f>IF(Inputs!$B$49="Yes",0,IF(A59&lt;Inputs!$B$28,Inputs!$B$26/12*B59,PMT(Inputs!$B$26/12,Inputs!$B$27*12,-B59)))</f>
        <v>0</v>
      </c>
      <c r="D59" s="4">
        <f>IF(Inputs!$B$49="Yes",0,B59*Inputs!$B$26/12)</f>
        <v>0</v>
      </c>
      <c r="E59" s="17">
        <f>IF(Inputs!$B$49="Yes",0,MAX(0,C59-D59))</f>
        <v>0</v>
      </c>
      <c r="F59" s="17">
        <f>IF(Inputs!$B$49="Yes",0,MAX(0,B59-E59))</f>
        <v>0</v>
      </c>
      <c r="G59" s="4">
        <f>IF(Inputs!$B$49="Yes",0,IF(A59=Inputs!$B$30,('Operating Expenses'!D17*4)/Inputs!$B$35,0))</f>
        <v>0</v>
      </c>
      <c r="H59" s="4">
        <f>IF(Inputs!$B$49="Yes",0,IF(A59=Inputs!$B$30,G59*Inputs!$B$31,0))</f>
        <v>0</v>
      </c>
      <c r="I59" s="4">
        <f>IF(Inputs!$B$49="Yes",0,IF(A59=Inputs!$B$30,MAX(0,H59-F59),0))</f>
        <v>0</v>
      </c>
      <c r="J59" s="4">
        <f>IF(Inputs!$B$49="Yes",0,IF(A59=Inputs!$B$30,H59,F59))</f>
        <v>0</v>
      </c>
      <c r="K59" s="1"/>
      <c r="L59" s="1"/>
    </row>
    <row r="60" spans="1:12" ht="18" customHeight="1" x14ac:dyDescent="0.3">
      <c r="A60" s="2">
        <v>47</v>
      </c>
      <c r="B60" s="17">
        <f>IF(Inputs!$B$49="Yes",0,J59)</f>
        <v>0</v>
      </c>
      <c r="C60" s="4">
        <f>IF(Inputs!$B$49="Yes",0,IF(A60&lt;Inputs!$B$28,Inputs!$B$26/12*B60,PMT(Inputs!$B$26/12,Inputs!$B$27*12,-B60)))</f>
        <v>0</v>
      </c>
      <c r="D60" s="4">
        <f>IF(Inputs!$B$49="Yes",0,B60*Inputs!$B$26/12)</f>
        <v>0</v>
      </c>
      <c r="E60" s="17">
        <f>IF(Inputs!$B$49="Yes",0,MAX(0,C60-D60))</f>
        <v>0</v>
      </c>
      <c r="F60" s="17">
        <f>IF(Inputs!$B$49="Yes",0,MAX(0,B60-E60))</f>
        <v>0</v>
      </c>
      <c r="G60" s="4">
        <f>IF(Inputs!$B$49="Yes",0,IF(A60=Inputs!$B$30,('Operating Expenses'!D17*4)/Inputs!$B$35,0))</f>
        <v>0</v>
      </c>
      <c r="H60" s="4">
        <f>IF(Inputs!$B$49="Yes",0,IF(A60=Inputs!$B$30,G60*Inputs!$B$31,0))</f>
        <v>0</v>
      </c>
      <c r="I60" s="4">
        <f>IF(Inputs!$B$49="Yes",0,IF(A60=Inputs!$B$30,MAX(0,H60-F60),0))</f>
        <v>0</v>
      </c>
      <c r="J60" s="4">
        <f>IF(Inputs!$B$49="Yes",0,IF(A60=Inputs!$B$30,H60,F60))</f>
        <v>0</v>
      </c>
      <c r="K60" s="1"/>
      <c r="L60" s="1"/>
    </row>
    <row r="61" spans="1:12" ht="18" customHeight="1" x14ac:dyDescent="0.3">
      <c r="A61" s="2">
        <v>48</v>
      </c>
      <c r="B61" s="17">
        <f>IF(Inputs!$B$49="Yes",0,J60)</f>
        <v>0</v>
      </c>
      <c r="C61" s="4">
        <f>IF(Inputs!$B$49="Yes",0,IF(A61&lt;Inputs!$B$28,Inputs!$B$26/12*B61,PMT(Inputs!$B$26/12,Inputs!$B$27*12,-B61)))</f>
        <v>0</v>
      </c>
      <c r="D61" s="4">
        <f>IF(Inputs!$B$49="Yes",0,B61*Inputs!$B$26/12)</f>
        <v>0</v>
      </c>
      <c r="E61" s="17">
        <f>IF(Inputs!$B$49="Yes",0,MAX(0,C61-D61))</f>
        <v>0</v>
      </c>
      <c r="F61" s="17">
        <f>IF(Inputs!$B$49="Yes",0,MAX(0,B61-E61))</f>
        <v>0</v>
      </c>
      <c r="G61" s="4">
        <f>IF(Inputs!$B$49="Yes",0,IF(A61=Inputs!$B$30,('Operating Expenses'!D17*4)/Inputs!$B$35,0))</f>
        <v>0</v>
      </c>
      <c r="H61" s="4">
        <f>IF(Inputs!$B$49="Yes",0,IF(A61=Inputs!$B$30,G61*Inputs!$B$31,0))</f>
        <v>0</v>
      </c>
      <c r="I61" s="4">
        <f>IF(Inputs!$B$49="Yes",0,IF(A61=Inputs!$B$30,MAX(0,H61-F61),0))</f>
        <v>0</v>
      </c>
      <c r="J61" s="4">
        <f>IF(Inputs!$B$49="Yes",0,IF(A61=Inputs!$B$30,H61,F61))</f>
        <v>0</v>
      </c>
      <c r="K61" s="1"/>
      <c r="L61" s="1"/>
    </row>
    <row r="62" spans="1:12" ht="18" customHeight="1" x14ac:dyDescent="0.3">
      <c r="A62" s="2">
        <v>49</v>
      </c>
      <c r="B62" s="17">
        <f>IF(Inputs!$B$49="Yes",0,J61)</f>
        <v>0</v>
      </c>
      <c r="C62" s="4">
        <f>IF(Inputs!$B$49="Yes",0,IF(A62&lt;Inputs!$B$28,Inputs!$B$26/12*B62,PMT(Inputs!$B$26/12,Inputs!$B$27*12,-B62)))</f>
        <v>0</v>
      </c>
      <c r="D62" s="4">
        <f>IF(Inputs!$B$49="Yes",0,B62*Inputs!$B$26/12)</f>
        <v>0</v>
      </c>
      <c r="E62" s="17">
        <f>IF(Inputs!$B$49="Yes",0,MAX(0,C62-D62))</f>
        <v>0</v>
      </c>
      <c r="F62" s="17">
        <f>IF(Inputs!$B$49="Yes",0,MAX(0,B62-E62))</f>
        <v>0</v>
      </c>
      <c r="G62" s="4">
        <f>IF(Inputs!$B$49="Yes",0,IF(A62=Inputs!$B$30,('Operating Expenses'!D17*4)/Inputs!$B$35,0))</f>
        <v>0</v>
      </c>
      <c r="H62" s="4">
        <f>IF(Inputs!$B$49="Yes",0,IF(A62=Inputs!$B$30,G62*Inputs!$B$31,0))</f>
        <v>0</v>
      </c>
      <c r="I62" s="4">
        <f>IF(Inputs!$B$49="Yes",0,IF(A62=Inputs!$B$30,MAX(0,H62-F62),0))</f>
        <v>0</v>
      </c>
      <c r="J62" s="4">
        <f>IF(Inputs!$B$49="Yes",0,IF(A62=Inputs!$B$30,H62,F62))</f>
        <v>0</v>
      </c>
      <c r="K62" s="1"/>
      <c r="L62" s="1"/>
    </row>
    <row r="63" spans="1:12" ht="18" customHeight="1" x14ac:dyDescent="0.3">
      <c r="A63" s="2">
        <v>50</v>
      </c>
      <c r="B63" s="17">
        <f>IF(Inputs!$B$49="Yes",0,J62)</f>
        <v>0</v>
      </c>
      <c r="C63" s="4">
        <f>IF(Inputs!$B$49="Yes",0,IF(A63&lt;Inputs!$B$28,Inputs!$B$26/12*B63,PMT(Inputs!$B$26/12,Inputs!$B$27*12,-B63)))</f>
        <v>0</v>
      </c>
      <c r="D63" s="4">
        <f>IF(Inputs!$B$49="Yes",0,B63*Inputs!$B$26/12)</f>
        <v>0</v>
      </c>
      <c r="E63" s="17">
        <f>IF(Inputs!$B$49="Yes",0,MAX(0,C63-D63))</f>
        <v>0</v>
      </c>
      <c r="F63" s="17">
        <f>IF(Inputs!$B$49="Yes",0,MAX(0,B63-E63))</f>
        <v>0</v>
      </c>
      <c r="G63" s="4">
        <f>IF(Inputs!$B$49="Yes",0,IF(A63=Inputs!$B$30,('Operating Expenses'!D17*4)/Inputs!$B$35,0))</f>
        <v>0</v>
      </c>
      <c r="H63" s="4">
        <f>IF(Inputs!$B$49="Yes",0,IF(A63=Inputs!$B$30,G63*Inputs!$B$31,0))</f>
        <v>0</v>
      </c>
      <c r="I63" s="4">
        <f>IF(Inputs!$B$49="Yes",0,IF(A63=Inputs!$B$30,MAX(0,H63-F63),0))</f>
        <v>0</v>
      </c>
      <c r="J63" s="4">
        <f>IF(Inputs!$B$49="Yes",0,IF(A63=Inputs!$B$30,H63,F63))</f>
        <v>0</v>
      </c>
      <c r="K63" s="1"/>
      <c r="L63" s="1"/>
    </row>
    <row r="64" spans="1:12" ht="18" customHeight="1" x14ac:dyDescent="0.3">
      <c r="A64" s="2">
        <v>51</v>
      </c>
      <c r="B64" s="17">
        <f>IF(Inputs!$B$49="Yes",0,J63)</f>
        <v>0</v>
      </c>
      <c r="C64" s="4">
        <f>IF(Inputs!$B$49="Yes",0,IF(A64&lt;Inputs!$B$28,Inputs!$B$26/12*B64,PMT(Inputs!$B$26/12,Inputs!$B$27*12,-B64)))</f>
        <v>0</v>
      </c>
      <c r="D64" s="4">
        <f>IF(Inputs!$B$49="Yes",0,B64*Inputs!$B$26/12)</f>
        <v>0</v>
      </c>
      <c r="E64" s="17">
        <f>IF(Inputs!$B$49="Yes",0,MAX(0,C64-D64))</f>
        <v>0</v>
      </c>
      <c r="F64" s="17">
        <f>IF(Inputs!$B$49="Yes",0,MAX(0,B64-E64))</f>
        <v>0</v>
      </c>
      <c r="G64" s="4">
        <f>IF(Inputs!$B$49="Yes",0,IF(A64=Inputs!$B$30,('Operating Expenses'!D17*4)/Inputs!$B$35,0))</f>
        <v>0</v>
      </c>
      <c r="H64" s="4">
        <f>IF(Inputs!$B$49="Yes",0,IF(A64=Inputs!$B$30,G64*Inputs!$B$31,0))</f>
        <v>0</v>
      </c>
      <c r="I64" s="4">
        <f>IF(Inputs!$B$49="Yes",0,IF(A64=Inputs!$B$30,MAX(0,H64-F64),0))</f>
        <v>0</v>
      </c>
      <c r="J64" s="4">
        <f>IF(Inputs!$B$49="Yes",0,IF(A64=Inputs!$B$30,H64,F64))</f>
        <v>0</v>
      </c>
      <c r="K64" s="1"/>
      <c r="L64" s="1"/>
    </row>
    <row r="65" spans="1:12" ht="18" customHeight="1" x14ac:dyDescent="0.3">
      <c r="A65" s="2">
        <v>52</v>
      </c>
      <c r="B65" s="17">
        <f>IF(Inputs!$B$49="Yes",0,J64)</f>
        <v>0</v>
      </c>
      <c r="C65" s="4">
        <f>IF(Inputs!$B$49="Yes",0,IF(A65&lt;Inputs!$B$28,Inputs!$B$26/12*B65,PMT(Inputs!$B$26/12,Inputs!$B$27*12,-B65)))</f>
        <v>0</v>
      </c>
      <c r="D65" s="4">
        <f>IF(Inputs!$B$49="Yes",0,B65*Inputs!$B$26/12)</f>
        <v>0</v>
      </c>
      <c r="E65" s="17">
        <f>IF(Inputs!$B$49="Yes",0,MAX(0,C65-D65))</f>
        <v>0</v>
      </c>
      <c r="F65" s="17">
        <f>IF(Inputs!$B$49="Yes",0,MAX(0,B65-E65))</f>
        <v>0</v>
      </c>
      <c r="G65" s="4">
        <f>IF(Inputs!$B$49="Yes",0,IF(A65=Inputs!$B$30,('Operating Expenses'!D17*4)/Inputs!$B$35,0))</f>
        <v>0</v>
      </c>
      <c r="H65" s="4">
        <f>IF(Inputs!$B$49="Yes",0,IF(A65=Inputs!$B$30,G65*Inputs!$B$31,0))</f>
        <v>0</v>
      </c>
      <c r="I65" s="4">
        <f>IF(Inputs!$B$49="Yes",0,IF(A65=Inputs!$B$30,MAX(0,H65-F65),0))</f>
        <v>0</v>
      </c>
      <c r="J65" s="4">
        <f>IF(Inputs!$B$49="Yes",0,IF(A65=Inputs!$B$30,H65,F65))</f>
        <v>0</v>
      </c>
      <c r="K65" s="1"/>
      <c r="L65" s="1"/>
    </row>
    <row r="66" spans="1:12" ht="18" customHeight="1" x14ac:dyDescent="0.3">
      <c r="A66" s="2">
        <v>53</v>
      </c>
      <c r="B66" s="17">
        <f>IF(Inputs!$B$49="Yes",0,J65)</f>
        <v>0</v>
      </c>
      <c r="C66" s="4">
        <f>IF(Inputs!$B$49="Yes",0,IF(A66&lt;Inputs!$B$28,Inputs!$B$26/12*B66,PMT(Inputs!$B$26/12,Inputs!$B$27*12,-B66)))</f>
        <v>0</v>
      </c>
      <c r="D66" s="4">
        <f>IF(Inputs!$B$49="Yes",0,B66*Inputs!$B$26/12)</f>
        <v>0</v>
      </c>
      <c r="E66" s="17">
        <f>IF(Inputs!$B$49="Yes",0,MAX(0,C66-D66))</f>
        <v>0</v>
      </c>
      <c r="F66" s="17">
        <f>IF(Inputs!$B$49="Yes",0,MAX(0,B66-E66))</f>
        <v>0</v>
      </c>
      <c r="G66" s="4">
        <f>IF(Inputs!$B$49="Yes",0,IF(A66=Inputs!$B$30,('Operating Expenses'!D17*4)/Inputs!$B$35,0))</f>
        <v>0</v>
      </c>
      <c r="H66" s="4">
        <f>IF(Inputs!$B$49="Yes",0,IF(A66=Inputs!$B$30,G66*Inputs!$B$31,0))</f>
        <v>0</v>
      </c>
      <c r="I66" s="4">
        <f>IF(Inputs!$B$49="Yes",0,IF(A66=Inputs!$B$30,MAX(0,H66-F66),0))</f>
        <v>0</v>
      </c>
      <c r="J66" s="4">
        <f>IF(Inputs!$B$49="Yes",0,IF(A66=Inputs!$B$30,H66,F66))</f>
        <v>0</v>
      </c>
      <c r="K66" s="1"/>
      <c r="L66" s="1"/>
    </row>
    <row r="67" spans="1:12" ht="18" customHeight="1" x14ac:dyDescent="0.3">
      <c r="A67" s="2">
        <v>54</v>
      </c>
      <c r="B67" s="17">
        <f>IF(Inputs!$B$49="Yes",0,J66)</f>
        <v>0</v>
      </c>
      <c r="C67" s="4">
        <f>IF(Inputs!$B$49="Yes",0,IF(A67&lt;Inputs!$B$28,Inputs!$B$26/12*B67,PMT(Inputs!$B$26/12,Inputs!$B$27*12,-B67)))</f>
        <v>0</v>
      </c>
      <c r="D67" s="4">
        <f>IF(Inputs!$B$49="Yes",0,B67*Inputs!$B$26/12)</f>
        <v>0</v>
      </c>
      <c r="E67" s="17">
        <f>IF(Inputs!$B$49="Yes",0,MAX(0,C67-D67))</f>
        <v>0</v>
      </c>
      <c r="F67" s="17">
        <f>IF(Inputs!$B$49="Yes",0,MAX(0,B67-E67))</f>
        <v>0</v>
      </c>
      <c r="G67" s="4">
        <f>IF(Inputs!$B$49="Yes",0,IF(A67=Inputs!$B$30,('Operating Expenses'!D17*4)/Inputs!$B$35,0))</f>
        <v>0</v>
      </c>
      <c r="H67" s="4">
        <f>IF(Inputs!$B$49="Yes",0,IF(A67=Inputs!$B$30,G67*Inputs!$B$31,0))</f>
        <v>0</v>
      </c>
      <c r="I67" s="4">
        <f>IF(Inputs!$B$49="Yes",0,IF(A67=Inputs!$B$30,MAX(0,H67-F67),0))</f>
        <v>0</v>
      </c>
      <c r="J67" s="4">
        <f>IF(Inputs!$B$49="Yes",0,IF(A67=Inputs!$B$30,H67,F67))</f>
        <v>0</v>
      </c>
      <c r="K67" s="1"/>
      <c r="L67" s="1"/>
    </row>
    <row r="68" spans="1:12" ht="18" customHeight="1" x14ac:dyDescent="0.3">
      <c r="A68" s="2">
        <v>55</v>
      </c>
      <c r="B68" s="17">
        <f>IF(Inputs!$B$49="Yes",0,J67)</f>
        <v>0</v>
      </c>
      <c r="C68" s="4">
        <f>IF(Inputs!$B$49="Yes",0,IF(A68&lt;Inputs!$B$28,Inputs!$B$26/12*B68,PMT(Inputs!$B$26/12,Inputs!$B$27*12,-B68)))</f>
        <v>0</v>
      </c>
      <c r="D68" s="4">
        <f>IF(Inputs!$B$49="Yes",0,B68*Inputs!$B$26/12)</f>
        <v>0</v>
      </c>
      <c r="E68" s="17">
        <f>IF(Inputs!$B$49="Yes",0,MAX(0,C68-D68))</f>
        <v>0</v>
      </c>
      <c r="F68" s="17">
        <f>IF(Inputs!$B$49="Yes",0,MAX(0,B68-E68))</f>
        <v>0</v>
      </c>
      <c r="G68" s="4">
        <f>IF(Inputs!$B$49="Yes",0,IF(A68=Inputs!$B$30,('Operating Expenses'!D17*4)/Inputs!$B$35,0))</f>
        <v>0</v>
      </c>
      <c r="H68" s="4">
        <f>IF(Inputs!$B$49="Yes",0,IF(A68=Inputs!$B$30,G68*Inputs!$B$31,0))</f>
        <v>0</v>
      </c>
      <c r="I68" s="4">
        <f>IF(Inputs!$B$49="Yes",0,IF(A68=Inputs!$B$30,MAX(0,H68-F68),0))</f>
        <v>0</v>
      </c>
      <c r="J68" s="4">
        <f>IF(Inputs!$B$49="Yes",0,IF(A68=Inputs!$B$30,H68,F68))</f>
        <v>0</v>
      </c>
      <c r="K68" s="1"/>
      <c r="L68" s="1"/>
    </row>
    <row r="69" spans="1:12" ht="18" customHeight="1" x14ac:dyDescent="0.3">
      <c r="A69" s="2">
        <v>56</v>
      </c>
      <c r="B69" s="17">
        <f>IF(Inputs!$B$49="Yes",0,J68)</f>
        <v>0</v>
      </c>
      <c r="C69" s="4">
        <f>IF(Inputs!$B$49="Yes",0,IF(A69&lt;Inputs!$B$28,Inputs!$B$26/12*B69,PMT(Inputs!$B$26/12,Inputs!$B$27*12,-B69)))</f>
        <v>0</v>
      </c>
      <c r="D69" s="4">
        <f>IF(Inputs!$B$49="Yes",0,B69*Inputs!$B$26/12)</f>
        <v>0</v>
      </c>
      <c r="E69" s="17">
        <f>IF(Inputs!$B$49="Yes",0,MAX(0,C69-D69))</f>
        <v>0</v>
      </c>
      <c r="F69" s="17">
        <f>IF(Inputs!$B$49="Yes",0,MAX(0,B69-E69))</f>
        <v>0</v>
      </c>
      <c r="G69" s="4">
        <f>IF(Inputs!$B$49="Yes",0,IF(A69=Inputs!$B$30,('Operating Expenses'!D17*4)/Inputs!$B$35,0))</f>
        <v>0</v>
      </c>
      <c r="H69" s="4">
        <f>IF(Inputs!$B$49="Yes",0,IF(A69=Inputs!$B$30,G69*Inputs!$B$31,0))</f>
        <v>0</v>
      </c>
      <c r="I69" s="4">
        <f>IF(Inputs!$B$49="Yes",0,IF(A69=Inputs!$B$30,MAX(0,H69-F69),0))</f>
        <v>0</v>
      </c>
      <c r="J69" s="4">
        <f>IF(Inputs!$B$49="Yes",0,IF(A69=Inputs!$B$30,H69,F69))</f>
        <v>0</v>
      </c>
      <c r="K69" s="1"/>
      <c r="L69" s="1"/>
    </row>
    <row r="70" spans="1:12" ht="18" customHeight="1" x14ac:dyDescent="0.3">
      <c r="A70" s="2">
        <v>57</v>
      </c>
      <c r="B70" s="17">
        <f>IF(Inputs!$B$49="Yes",0,J69)</f>
        <v>0</v>
      </c>
      <c r="C70" s="4">
        <f>IF(Inputs!$B$49="Yes",0,IF(A70&lt;Inputs!$B$28,Inputs!$B$26/12*B70,PMT(Inputs!$B$26/12,Inputs!$B$27*12,-B70)))</f>
        <v>0</v>
      </c>
      <c r="D70" s="4">
        <f>IF(Inputs!$B$49="Yes",0,B70*Inputs!$B$26/12)</f>
        <v>0</v>
      </c>
      <c r="E70" s="17">
        <f>IF(Inputs!$B$49="Yes",0,MAX(0,C70-D70))</f>
        <v>0</v>
      </c>
      <c r="F70" s="17">
        <f>IF(Inputs!$B$49="Yes",0,MAX(0,B70-E70))</f>
        <v>0</v>
      </c>
      <c r="G70" s="4">
        <f>IF(Inputs!$B$49="Yes",0,IF(A70=Inputs!$B$30,('Operating Expenses'!D17*4)/Inputs!$B$35,0))</f>
        <v>0</v>
      </c>
      <c r="H70" s="4">
        <f>IF(Inputs!$B$49="Yes",0,IF(A70=Inputs!$B$30,G70*Inputs!$B$31,0))</f>
        <v>0</v>
      </c>
      <c r="I70" s="4">
        <f>IF(Inputs!$B$49="Yes",0,IF(A70=Inputs!$B$30,MAX(0,H70-F70),0))</f>
        <v>0</v>
      </c>
      <c r="J70" s="4">
        <f>IF(Inputs!$B$49="Yes",0,IF(A70=Inputs!$B$30,H70,F70))</f>
        <v>0</v>
      </c>
      <c r="K70" s="1"/>
      <c r="L70" s="1"/>
    </row>
    <row r="71" spans="1:12" ht="18" customHeight="1" x14ac:dyDescent="0.3">
      <c r="A71" s="2">
        <v>58</v>
      </c>
      <c r="B71" s="17">
        <f>IF(Inputs!$B$49="Yes",0,J70)</f>
        <v>0</v>
      </c>
      <c r="C71" s="4">
        <f>IF(Inputs!$B$49="Yes",0,IF(A71&lt;Inputs!$B$28,Inputs!$B$26/12*B71,PMT(Inputs!$B$26/12,Inputs!$B$27*12,-B71)))</f>
        <v>0</v>
      </c>
      <c r="D71" s="4">
        <f>IF(Inputs!$B$49="Yes",0,B71*Inputs!$B$26/12)</f>
        <v>0</v>
      </c>
      <c r="E71" s="17">
        <f>IF(Inputs!$B$49="Yes",0,MAX(0,C71-D71))</f>
        <v>0</v>
      </c>
      <c r="F71" s="17">
        <f>IF(Inputs!$B$49="Yes",0,MAX(0,B71-E71))</f>
        <v>0</v>
      </c>
      <c r="G71" s="4">
        <f>IF(Inputs!$B$49="Yes",0,IF(A71=Inputs!$B$30,('Operating Expenses'!D17*4)/Inputs!$B$35,0))</f>
        <v>0</v>
      </c>
      <c r="H71" s="4">
        <f>IF(Inputs!$B$49="Yes",0,IF(A71=Inputs!$B$30,G71*Inputs!$B$31,0))</f>
        <v>0</v>
      </c>
      <c r="I71" s="4">
        <f>IF(Inputs!$B$49="Yes",0,IF(A71=Inputs!$B$30,MAX(0,H71-F71),0))</f>
        <v>0</v>
      </c>
      <c r="J71" s="4">
        <f>IF(Inputs!$B$49="Yes",0,IF(A71=Inputs!$B$30,H71,F71))</f>
        <v>0</v>
      </c>
      <c r="K71" s="1"/>
      <c r="L71" s="1"/>
    </row>
    <row r="72" spans="1:12" ht="18" customHeight="1" x14ac:dyDescent="0.3">
      <c r="A72" s="2">
        <v>59</v>
      </c>
      <c r="B72" s="17">
        <f>IF(Inputs!$B$49="Yes",0,J71)</f>
        <v>0</v>
      </c>
      <c r="C72" s="4">
        <f>IF(Inputs!$B$49="Yes",0,IF(A72&lt;Inputs!$B$28,Inputs!$B$26/12*B72,PMT(Inputs!$B$26/12,Inputs!$B$27*12,-B72)))</f>
        <v>0</v>
      </c>
      <c r="D72" s="4">
        <f>IF(Inputs!$B$49="Yes",0,B72*Inputs!$B$26/12)</f>
        <v>0</v>
      </c>
      <c r="E72" s="17">
        <f>IF(Inputs!$B$49="Yes",0,MAX(0,C72-D72))</f>
        <v>0</v>
      </c>
      <c r="F72" s="17">
        <f>IF(Inputs!$B$49="Yes",0,MAX(0,B72-E72))</f>
        <v>0</v>
      </c>
      <c r="G72" s="4">
        <f>IF(Inputs!$B$49="Yes",0,IF(A72=Inputs!$B$30,('Operating Expenses'!D17*4)/Inputs!$B$35,0))</f>
        <v>0</v>
      </c>
      <c r="H72" s="4">
        <f>IF(Inputs!$B$49="Yes",0,IF(A72=Inputs!$B$30,G72*Inputs!$B$31,0))</f>
        <v>0</v>
      </c>
      <c r="I72" s="4">
        <f>IF(Inputs!$B$49="Yes",0,IF(A72=Inputs!$B$30,MAX(0,H72-F72),0))</f>
        <v>0</v>
      </c>
      <c r="J72" s="4">
        <f>IF(Inputs!$B$49="Yes",0,IF(A72=Inputs!$B$30,H72,F72))</f>
        <v>0</v>
      </c>
      <c r="K72" s="1"/>
      <c r="L72" s="1"/>
    </row>
    <row r="73" spans="1:12" ht="18" customHeight="1" x14ac:dyDescent="0.3">
      <c r="A73" s="2">
        <v>60</v>
      </c>
      <c r="B73" s="17">
        <f>IF(Inputs!$B$49="Yes",0,J72)</f>
        <v>0</v>
      </c>
      <c r="C73" s="4">
        <f>IF(Inputs!$B$49="Yes",0,IF(A73&lt;Inputs!$B$28,Inputs!$B$26/12*B73,PMT(Inputs!$B$26/12,Inputs!$B$27*12,-B73)))</f>
        <v>0</v>
      </c>
      <c r="D73" s="4">
        <f>IF(Inputs!$B$49="Yes",0,B73*Inputs!$B$26/12)</f>
        <v>0</v>
      </c>
      <c r="E73" s="17">
        <f>IF(Inputs!$B$49="Yes",0,MAX(0,C73-D73))</f>
        <v>0</v>
      </c>
      <c r="F73" s="17">
        <f>IF(Inputs!$B$49="Yes",0,MAX(0,B73-E73))</f>
        <v>0</v>
      </c>
      <c r="G73" s="4">
        <f>IF(Inputs!$B$49="Yes",0,IF(A73=Inputs!$B$30,('Operating Expenses'!D17*4)/Inputs!$B$35,0))</f>
        <v>0</v>
      </c>
      <c r="H73" s="4">
        <f>IF(Inputs!$B$49="Yes",0,IF(A73=Inputs!$B$30,G73*Inputs!$B$31,0))</f>
        <v>0</v>
      </c>
      <c r="I73" s="4">
        <f>IF(Inputs!$B$49="Yes",0,IF(A73=Inputs!$B$30,MAX(0,H73-F73),0))</f>
        <v>0</v>
      </c>
      <c r="J73" s="4">
        <f>IF(Inputs!$B$49="Yes",0,IF(A73=Inputs!$B$30,H73,F73))</f>
        <v>0</v>
      </c>
      <c r="K73" s="1"/>
      <c r="L73" s="1"/>
    </row>
    <row r="74" spans="1:12" ht="18" customHeight="1" x14ac:dyDescent="0.3"/>
    <row r="75" spans="1:12" ht="18" customHeight="1" x14ac:dyDescent="0.3"/>
    <row r="76" spans="1:12" ht="18" customHeight="1" x14ac:dyDescent="0.3"/>
    <row r="77" spans="1:12" ht="18" customHeight="1" x14ac:dyDescent="0.3"/>
    <row r="78" spans="1:12" ht="18" customHeight="1" x14ac:dyDescent="0.3"/>
    <row r="79" spans="1:12" ht="18" customHeight="1" x14ac:dyDescent="0.3"/>
    <row r="80" spans="1:12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2">
    <mergeCell ref="A3:L3"/>
    <mergeCell ref="A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9"/>
  <sheetViews>
    <sheetView showGridLines="0" workbookViewId="0">
      <selection sqref="A1:J1"/>
    </sheetView>
  </sheetViews>
  <sheetFormatPr defaultRowHeight="14.4" x14ac:dyDescent="0.3"/>
  <cols>
    <col min="1" max="1" width="34" customWidth="1"/>
    <col min="2" max="29" width="15" customWidth="1"/>
  </cols>
  <sheetData>
    <row r="1" spans="1:10" ht="18" customHeight="1" x14ac:dyDescent="0.35">
      <c r="A1" s="56" t="s">
        <v>214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3">
      <c r="A3" s="14" t="s">
        <v>145</v>
      </c>
      <c r="B3" s="15" t="s">
        <v>215</v>
      </c>
      <c r="C3" s="15" t="s">
        <v>216</v>
      </c>
      <c r="D3" s="15" t="s">
        <v>217</v>
      </c>
      <c r="E3" s="15" t="s">
        <v>218</v>
      </c>
      <c r="F3" s="15" t="s">
        <v>219</v>
      </c>
      <c r="G3" s="1"/>
      <c r="H3" s="1"/>
      <c r="I3" s="1"/>
      <c r="J3" s="1"/>
    </row>
    <row r="4" spans="1:10" ht="18" customHeight="1" x14ac:dyDescent="0.3">
      <c r="A4" s="2">
        <v>0</v>
      </c>
      <c r="B4" s="26">
        <v>0</v>
      </c>
      <c r="C4" s="4">
        <f>Inputs!B4*Inputs!B7</f>
        <v>85000</v>
      </c>
      <c r="D4" s="26">
        <v>0</v>
      </c>
      <c r="E4" s="26">
        <v>0</v>
      </c>
      <c r="F4" s="17">
        <f t="shared" ref="F4:F9" si="0">SUM(C4:E4)</f>
        <v>85000</v>
      </c>
      <c r="G4" s="1"/>
      <c r="H4" s="1"/>
      <c r="I4" s="1"/>
      <c r="J4" s="1"/>
    </row>
    <row r="5" spans="1:10" ht="18" customHeight="1" x14ac:dyDescent="0.3">
      <c r="A5" s="2">
        <v>1</v>
      </c>
      <c r="B5" s="4">
        <f>'Revenue Forecast'!F4</f>
        <v>1064309.1109547783</v>
      </c>
      <c r="C5" s="26">
        <v>0</v>
      </c>
      <c r="D5" s="4">
        <f>B5*Inputs!$B$8</f>
        <v>15964.636664321673</v>
      </c>
      <c r="E5" s="4">
        <f>IF(A5=Inputs!$B$35/12,'Returns Summary'!B15*Inputs!$B$9,0)</f>
        <v>0</v>
      </c>
      <c r="F5" s="17">
        <f t="shared" si="0"/>
        <v>15964.636664321673</v>
      </c>
      <c r="G5" s="1"/>
      <c r="H5" s="1"/>
      <c r="I5" s="1"/>
      <c r="J5" s="1"/>
    </row>
    <row r="6" spans="1:10" ht="18" customHeight="1" x14ac:dyDescent="0.3">
      <c r="A6" s="2">
        <v>2</v>
      </c>
      <c r="B6" s="4">
        <f>'Revenue Forecast'!F5</f>
        <v>1285590.4560678627</v>
      </c>
      <c r="C6" s="26">
        <v>0</v>
      </c>
      <c r="D6" s="4">
        <f>B6*Inputs!$B$8</f>
        <v>19283.85684101794</v>
      </c>
      <c r="E6" s="4">
        <f>IF(A6=Inputs!$B$35/12,'Returns Summary'!B15*Inputs!$B$9,0)</f>
        <v>0</v>
      </c>
      <c r="F6" s="17">
        <f t="shared" si="0"/>
        <v>19283.85684101794</v>
      </c>
      <c r="G6" s="1"/>
      <c r="H6" s="1"/>
      <c r="I6" s="1"/>
      <c r="J6" s="1"/>
    </row>
    <row r="7" spans="1:10" ht="18" customHeight="1" x14ac:dyDescent="0.3">
      <c r="A7" s="2">
        <v>3</v>
      </c>
      <c r="B7" s="4">
        <f>'Revenue Forecast'!F6</f>
        <v>1494168.4541609637</v>
      </c>
      <c r="C7" s="26">
        <v>0</v>
      </c>
      <c r="D7" s="4">
        <f>B7*Inputs!$B$8</f>
        <v>22412.526812414453</v>
      </c>
      <c r="E7" s="4">
        <f>IF(A7=Inputs!$B$35/12,'Returns Summary'!B15*Inputs!$B$9,0)</f>
        <v>0</v>
      </c>
      <c r="F7" s="17">
        <f t="shared" si="0"/>
        <v>22412.526812414453</v>
      </c>
      <c r="G7" s="1"/>
      <c r="H7" s="1"/>
      <c r="I7" s="1"/>
      <c r="J7" s="1"/>
    </row>
    <row r="8" spans="1:10" ht="18" customHeight="1" x14ac:dyDescent="0.3">
      <c r="A8" s="2">
        <v>4</v>
      </c>
      <c r="B8" s="4">
        <f>'Revenue Forecast'!F7</f>
        <v>1713038.7145608349</v>
      </c>
      <c r="C8" s="26">
        <v>0</v>
      </c>
      <c r="D8" s="4">
        <f>B8*Inputs!$B$8</f>
        <v>25695.580718412522</v>
      </c>
      <c r="E8" s="4">
        <f>IF(A8=Inputs!$B$35/12,'Returns Summary'!B15*Inputs!$B$9,0)</f>
        <v>0</v>
      </c>
      <c r="F8" s="17">
        <f t="shared" si="0"/>
        <v>25695.580718412522</v>
      </c>
      <c r="G8" s="1"/>
      <c r="H8" s="1"/>
      <c r="I8" s="1"/>
      <c r="J8" s="1"/>
    </row>
    <row r="9" spans="1:10" ht="18" customHeight="1" x14ac:dyDescent="0.3">
      <c r="A9" s="2">
        <v>5</v>
      </c>
      <c r="B9" s="4">
        <f>'Revenue Forecast'!F8</f>
        <v>1784969.0002001703</v>
      </c>
      <c r="C9" s="26">
        <v>0</v>
      </c>
      <c r="D9" s="4">
        <f>B9*Inputs!$B$8</f>
        <v>26774.535003002555</v>
      </c>
      <c r="E9" s="4">
        <f>IF(A9=Inputs!$B$35/12,'Returns Summary'!B15*Inputs!$B$9,0)</f>
        <v>0</v>
      </c>
      <c r="F9" s="17">
        <f t="shared" si="0"/>
        <v>26774.535003002555</v>
      </c>
      <c r="G9" s="1"/>
      <c r="H9" s="1"/>
      <c r="I9" s="1"/>
      <c r="J9" s="1"/>
    </row>
    <row r="10" spans="1:10" ht="18" customHeight="1" x14ac:dyDescent="0.3"/>
    <row r="11" spans="1:10" ht="18" customHeight="1" x14ac:dyDescent="0.3"/>
    <row r="12" spans="1:10" ht="18" customHeight="1" x14ac:dyDescent="0.3"/>
    <row r="13" spans="1:10" ht="18" customHeight="1" x14ac:dyDescent="0.3"/>
    <row r="14" spans="1:10" ht="18" customHeight="1" x14ac:dyDescent="0.3"/>
    <row r="15" spans="1:10" ht="18" customHeight="1" x14ac:dyDescent="0.3"/>
    <row r="16" spans="1:10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9"/>
  <sheetViews>
    <sheetView showGridLines="0" workbookViewId="0">
      <selection activeCell="E24" sqref="E24"/>
    </sheetView>
  </sheetViews>
  <sheetFormatPr defaultRowHeight="14.4" x14ac:dyDescent="0.3"/>
  <cols>
    <col min="1" max="1" width="10" customWidth="1"/>
    <col min="2" max="2" width="20" customWidth="1"/>
    <col min="3" max="11" width="18" customWidth="1"/>
    <col min="12" max="29" width="15" customWidth="1"/>
  </cols>
  <sheetData>
    <row r="1" spans="1:12" ht="18" customHeight="1" x14ac:dyDescent="0.3">
      <c r="A1" s="64" t="s">
        <v>220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57"/>
    </row>
    <row r="2" spans="1:12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 customHeight="1" x14ac:dyDescent="0.3">
      <c r="A3" s="62" t="s">
        <v>221</v>
      </c>
      <c r="B3" s="63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ht="18" customHeight="1" x14ac:dyDescent="0.3">
      <c r="A4" s="2" t="s">
        <v>222</v>
      </c>
      <c r="B4" s="4">
        <f>'Returns Summary'!B14</f>
        <v>4612500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" customHeight="1" x14ac:dyDescent="0.3">
      <c r="A5" s="2" t="s">
        <v>223</v>
      </c>
      <c r="B5" s="4">
        <f>B4*Inputs!B10</f>
        <v>0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" customHeight="1" x14ac:dyDescent="0.3">
      <c r="A6" s="2" t="s">
        <v>224</v>
      </c>
      <c r="B6" s="17">
        <f>B4-B5</f>
        <v>4612500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" customHeight="1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" customHeight="1" x14ac:dyDescent="0.3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" customHeight="1" x14ac:dyDescent="0.3">
      <c r="A9" s="47" t="s">
        <v>145</v>
      </c>
      <c r="B9" s="47" t="s">
        <v>225</v>
      </c>
      <c r="C9" s="47" t="s">
        <v>226</v>
      </c>
      <c r="D9" s="47" t="s">
        <v>227</v>
      </c>
      <c r="E9" s="47" t="s">
        <v>228</v>
      </c>
      <c r="F9" s="47" t="s">
        <v>229</v>
      </c>
      <c r="G9" s="47" t="s">
        <v>230</v>
      </c>
      <c r="H9" s="47" t="s">
        <v>231</v>
      </c>
      <c r="I9" s="47" t="s">
        <v>232</v>
      </c>
      <c r="J9" s="47" t="s">
        <v>233</v>
      </c>
      <c r="K9" s="47" t="s">
        <v>234</v>
      </c>
      <c r="L9" s="1"/>
    </row>
    <row r="10" spans="1:12" ht="18" customHeight="1" x14ac:dyDescent="0.3">
      <c r="A10" s="51">
        <v>1</v>
      </c>
      <c r="B10" s="52">
        <f>'Returns Summary'!I6</f>
        <v>510129.0187427178</v>
      </c>
      <c r="C10" s="52">
        <f>MIN(B10,MAX(0,$B$6-0))</f>
        <v>510129.0187427178</v>
      </c>
      <c r="D10" s="53">
        <f>MIN(MAX(0,B10-C10),$B$6*Inputs!$B$40)</f>
        <v>0</v>
      </c>
      <c r="E10" s="53">
        <f>MAX(0,B10-C10-D10)</f>
        <v>0</v>
      </c>
      <c r="F10" s="52">
        <f>MIN(E10,$B$6*Inputs!$B$40)*Inputs!$B$42</f>
        <v>0</v>
      </c>
      <c r="G10" s="52">
        <f>MIN(E10,$B$6*Inputs!$B$40)*Inputs!$B$43</f>
        <v>0</v>
      </c>
      <c r="H10" s="52">
        <f>MAX(0,E10-F10-G10)*Inputs!$B$45</f>
        <v>0</v>
      </c>
      <c r="I10" s="52">
        <f>MAX(0,E10-F10-G10)*Inputs!$B$46</f>
        <v>0</v>
      </c>
      <c r="J10" s="53">
        <f>C10+D10+F10+H10</f>
        <v>510129.0187427178</v>
      </c>
      <c r="K10" s="53">
        <f>G10+I10</f>
        <v>0</v>
      </c>
      <c r="L10" s="1"/>
    </row>
    <row r="11" spans="1:12" ht="18" customHeight="1" x14ac:dyDescent="0.3">
      <c r="A11" s="51">
        <v>2</v>
      </c>
      <c r="B11" s="52">
        <f>'Returns Summary'!I7</f>
        <v>714635.75729041232</v>
      </c>
      <c r="C11" s="52">
        <f>MIN(B11,MAX(0,$B$6-SUM($C$10:C10)))</f>
        <v>714635.75729041232</v>
      </c>
      <c r="D11" s="53">
        <f>MIN(MAX(0,B11-C11),$B$6*Inputs!$B$40)</f>
        <v>0</v>
      </c>
      <c r="E11" s="53">
        <f>MAX(0,B11-C11-D11)</f>
        <v>0</v>
      </c>
      <c r="F11" s="52">
        <f>MIN(E11,$B$6*Inputs!$B$40)*Inputs!$B$42</f>
        <v>0</v>
      </c>
      <c r="G11" s="52">
        <f>MIN(E11,$B$6*Inputs!$B$40)*Inputs!$B$43</f>
        <v>0</v>
      </c>
      <c r="H11" s="52">
        <f>MAX(0,E11-F11-G11)*Inputs!$B$45</f>
        <v>0</v>
      </c>
      <c r="I11" s="52">
        <f>MAX(0,E11-F11-G11)*Inputs!$B$46</f>
        <v>0</v>
      </c>
      <c r="J11" s="53">
        <f>C11+D11+F11+H11</f>
        <v>714635.75729041232</v>
      </c>
      <c r="K11" s="53">
        <f>G11+I11</f>
        <v>0</v>
      </c>
      <c r="L11" s="1"/>
    </row>
    <row r="12" spans="1:12" ht="18" customHeight="1" x14ac:dyDescent="0.3">
      <c r="A12" s="51">
        <v>3</v>
      </c>
      <c r="B12" s="52">
        <f>'Returns Summary'!I8</f>
        <v>988875.81436370604</v>
      </c>
      <c r="C12" s="52">
        <f>MIN(B12,MAX(0,$B$6-SUM($C$10:C11)))</f>
        <v>988875.81436370604</v>
      </c>
      <c r="D12" s="53">
        <f>MIN(MAX(0,B12-C12),$B$6*Inputs!$B$40)</f>
        <v>0</v>
      </c>
      <c r="E12" s="53">
        <f>MAX(0,B12-C12-D12)</f>
        <v>0</v>
      </c>
      <c r="F12" s="52">
        <f>MIN(E12,$B$6*Inputs!$B$40)*Inputs!$B$42</f>
        <v>0</v>
      </c>
      <c r="G12" s="52">
        <f>MIN(E12,$B$6*Inputs!$B$40)*Inputs!$B$43</f>
        <v>0</v>
      </c>
      <c r="H12" s="52">
        <f>MAX(0,E12-F12-G12)*Inputs!$B$45</f>
        <v>0</v>
      </c>
      <c r="I12" s="52">
        <f>MAX(0,E12-F12-G12)*Inputs!$B$46</f>
        <v>0</v>
      </c>
      <c r="J12" s="53">
        <f>C12+D12+F12+H12</f>
        <v>988875.81436370604</v>
      </c>
      <c r="K12" s="53">
        <f>G12+I12</f>
        <v>0</v>
      </c>
      <c r="L12" s="1"/>
    </row>
    <row r="13" spans="1:12" ht="18" customHeight="1" x14ac:dyDescent="0.3">
      <c r="A13" s="51">
        <v>4</v>
      </c>
      <c r="B13" s="52">
        <f>'Returns Summary'!I9</f>
        <v>1287923.9555329583</v>
      </c>
      <c r="C13" s="52">
        <f>MIN(B13,MAX(0,$B$6-SUM($C$10:C12)))</f>
        <v>1287923.9555329583</v>
      </c>
      <c r="D13" s="53">
        <f>MIN(MAX(0,B13-C13),$B$6*Inputs!$B$40)</f>
        <v>0</v>
      </c>
      <c r="E13" s="53">
        <f>MAX(0,B13-C13-D13)</f>
        <v>0</v>
      </c>
      <c r="F13" s="52">
        <f>MIN(E13,$B$6*Inputs!$B$40)*Inputs!$B$42</f>
        <v>0</v>
      </c>
      <c r="G13" s="52">
        <f>MIN(E13,$B$6*Inputs!$B$40)*Inputs!$B$43</f>
        <v>0</v>
      </c>
      <c r="H13" s="52">
        <f>MAX(0,E13-F13-G13)*Inputs!$B$45</f>
        <v>0</v>
      </c>
      <c r="I13" s="52">
        <f>MAX(0,E13-F13-G13)*Inputs!$B$46</f>
        <v>0</v>
      </c>
      <c r="J13" s="53">
        <f>C13+D13+F13+H13</f>
        <v>1287923.9555329583</v>
      </c>
      <c r="K13" s="53">
        <f>G13+I13</f>
        <v>0</v>
      </c>
      <c r="L13" s="1"/>
    </row>
    <row r="14" spans="1:12" ht="18" customHeight="1" x14ac:dyDescent="0.3">
      <c r="A14" s="51">
        <v>5</v>
      </c>
      <c r="B14" s="52">
        <f>'Returns Summary'!I10</f>
        <v>17441695.591351487</v>
      </c>
      <c r="C14" s="52">
        <f>MIN(B14,MAX(0,$B$6-SUM($C$10:C13)))</f>
        <v>1110935.4540702058</v>
      </c>
      <c r="D14" s="53">
        <f>MIN(MAX(0,B14-C14),$B$6*Inputs!$B$40)</f>
        <v>369000</v>
      </c>
      <c r="E14" s="53">
        <f>MAX(0,B14-C14-D14)</f>
        <v>15961760.13728128</v>
      </c>
      <c r="F14" s="52">
        <f>MIN(E14,$B$6*Inputs!$B$40)*Inputs!$B$42</f>
        <v>295200</v>
      </c>
      <c r="G14" s="52">
        <f>MIN(E14,$B$6*Inputs!$B$40)*Inputs!$B$43</f>
        <v>73800</v>
      </c>
      <c r="H14" s="52">
        <f>MAX(0,E14-F14-G14)*Inputs!$B$45</f>
        <v>12474208.109825024</v>
      </c>
      <c r="I14" s="52">
        <f>MAX(0,E14-F14-G14)*Inputs!$B$46</f>
        <v>3118552.0274562561</v>
      </c>
      <c r="J14" s="53">
        <f>C14+D14+F14+H14</f>
        <v>14249343.563895229</v>
      </c>
      <c r="K14" s="53">
        <f>G14+I14</f>
        <v>3192352.0274562561</v>
      </c>
      <c r="L14" s="1"/>
    </row>
    <row r="15" spans="1:12" ht="18" customHeight="1" x14ac:dyDescent="0.3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" customHeight="1" x14ac:dyDescent="0.3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" customHeight="1" x14ac:dyDescent="0.3">
      <c r="A17" s="62" t="s">
        <v>235</v>
      </c>
      <c r="B17" s="63"/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1:12" ht="18" customHeight="1" x14ac:dyDescent="0.3">
      <c r="A18" s="2" t="s">
        <v>236</v>
      </c>
      <c r="B18" s="17">
        <f>SUM(J10:J14)</f>
        <v>17750908.109825023</v>
      </c>
      <c r="C18" s="1"/>
      <c r="D18" s="48" t="s">
        <v>237</v>
      </c>
      <c r="E18" s="48" t="s">
        <v>238</v>
      </c>
      <c r="F18" s="1"/>
      <c r="G18" s="1"/>
      <c r="H18" s="1"/>
      <c r="I18" s="1"/>
      <c r="J18" s="1"/>
      <c r="K18" s="1"/>
      <c r="L18" s="1"/>
    </row>
    <row r="19" spans="1:12" ht="18" customHeight="1" x14ac:dyDescent="0.3">
      <c r="A19" s="2" t="s">
        <v>239</v>
      </c>
      <c r="B19" s="17">
        <f>SUM(K10:K14)</f>
        <v>3192352.0274562561</v>
      </c>
      <c r="C19" s="1"/>
      <c r="D19" s="17">
        <f>-$B$6</f>
        <v>-4612500</v>
      </c>
      <c r="E19" s="8">
        <f>-$B$5</f>
        <v>0</v>
      </c>
      <c r="F19" s="1"/>
      <c r="G19" s="1"/>
      <c r="H19" s="1"/>
      <c r="I19" s="1"/>
      <c r="J19" s="1"/>
      <c r="K19" s="1"/>
      <c r="L19" s="1"/>
    </row>
    <row r="20" spans="1:12" ht="18" customHeight="1" x14ac:dyDescent="0.3">
      <c r="A20" s="2" t="s">
        <v>25</v>
      </c>
      <c r="B20" s="49">
        <f>IFERROR(B18/B6,"N/A")</f>
        <v>3.8484353625636905</v>
      </c>
      <c r="C20" s="1"/>
      <c r="D20" s="17">
        <f t="shared" ref="D20:E24" si="0">J10</f>
        <v>510129.0187427178</v>
      </c>
      <c r="E20" s="8">
        <f t="shared" si="0"/>
        <v>0</v>
      </c>
      <c r="F20" s="1"/>
      <c r="G20" s="1"/>
      <c r="H20" s="1"/>
      <c r="I20" s="1"/>
      <c r="J20" s="1"/>
      <c r="K20" s="1"/>
      <c r="L20" s="1"/>
    </row>
    <row r="21" spans="1:12" ht="18" customHeight="1" x14ac:dyDescent="0.3">
      <c r="A21" s="2" t="s">
        <v>26</v>
      </c>
      <c r="B21" s="49" t="str">
        <f>IFERROR(B19/B5,"N/A")</f>
        <v>N/A</v>
      </c>
      <c r="C21" s="1"/>
      <c r="D21" s="17">
        <f t="shared" si="0"/>
        <v>714635.75729041232</v>
      </c>
      <c r="E21" s="8">
        <f t="shared" si="0"/>
        <v>0</v>
      </c>
      <c r="F21" s="1"/>
      <c r="G21" s="1"/>
      <c r="H21" s="1"/>
      <c r="I21" s="1"/>
      <c r="J21" s="1"/>
      <c r="K21" s="1"/>
      <c r="L21" s="1"/>
    </row>
    <row r="22" spans="1:12" ht="18" customHeight="1" x14ac:dyDescent="0.3">
      <c r="A22" s="2" t="s">
        <v>240</v>
      </c>
      <c r="B22" s="16">
        <f>IFERROR(IRR(D19:D24),"N/A")</f>
        <v>0.35867055235626255</v>
      </c>
      <c r="C22" s="1"/>
      <c r="D22" s="17">
        <f t="shared" si="0"/>
        <v>988875.81436370604</v>
      </c>
      <c r="E22" s="8">
        <f t="shared" si="0"/>
        <v>0</v>
      </c>
      <c r="F22" s="1"/>
      <c r="G22" s="1"/>
      <c r="H22" s="1"/>
      <c r="I22" s="1"/>
      <c r="J22" s="1"/>
      <c r="K22" s="1"/>
      <c r="L22" s="1"/>
    </row>
    <row r="23" spans="1:12" ht="18" customHeight="1" x14ac:dyDescent="0.3">
      <c r="A23" s="2" t="s">
        <v>241</v>
      </c>
      <c r="B23" s="16" t="str">
        <f>IFERROR(IRR(E19:E24),"N/A")</f>
        <v>N/A</v>
      </c>
      <c r="C23" s="1"/>
      <c r="D23" s="17">
        <f t="shared" si="0"/>
        <v>1287923.9555329583</v>
      </c>
      <c r="E23" s="8">
        <f t="shared" si="0"/>
        <v>0</v>
      </c>
      <c r="F23" s="1"/>
      <c r="G23" s="1"/>
      <c r="H23" s="1"/>
      <c r="I23" s="1"/>
      <c r="J23" s="1"/>
      <c r="K23" s="1"/>
      <c r="L23" s="1"/>
    </row>
    <row r="24" spans="1:12" ht="18" customHeight="1" x14ac:dyDescent="0.3">
      <c r="A24" s="2" t="s">
        <v>242</v>
      </c>
      <c r="B24" s="50">
        <f>IFERROR((B18+B19)/B4,"N/A")</f>
        <v>4.5405442032046137</v>
      </c>
      <c r="C24" s="1"/>
      <c r="D24" s="17">
        <f t="shared" si="0"/>
        <v>14249343.563895229</v>
      </c>
      <c r="E24" s="17">
        <f t="shared" si="0"/>
        <v>3192352.0274562561</v>
      </c>
      <c r="F24" s="1"/>
      <c r="G24" s="1"/>
      <c r="H24" s="1"/>
      <c r="I24" s="1"/>
      <c r="J24" s="1"/>
      <c r="K24" s="1"/>
      <c r="L24" s="1"/>
    </row>
    <row r="25" spans="1:12" ht="18" customHeight="1" x14ac:dyDescent="0.3"/>
    <row r="26" spans="1:12" ht="18" customHeight="1" x14ac:dyDescent="0.3"/>
    <row r="27" spans="1:12" ht="18" customHeight="1" x14ac:dyDescent="0.3"/>
    <row r="28" spans="1:12" ht="18" customHeight="1" x14ac:dyDescent="0.3"/>
    <row r="29" spans="1:12" ht="18" customHeight="1" x14ac:dyDescent="0.3"/>
    <row r="30" spans="1:12" ht="18" customHeight="1" x14ac:dyDescent="0.3"/>
    <row r="31" spans="1:12" ht="18" customHeight="1" x14ac:dyDescent="0.3"/>
    <row r="32" spans="1:1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3">
    <mergeCell ref="A3:L3"/>
    <mergeCell ref="A1:L1"/>
    <mergeCell ref="A17:L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9"/>
  <sheetViews>
    <sheetView showGridLines="0" workbookViewId="0">
      <selection activeCell="F29" sqref="F29"/>
    </sheetView>
  </sheetViews>
  <sheetFormatPr defaultRowHeight="14.4" x14ac:dyDescent="0.3"/>
  <cols>
    <col min="1" max="1" width="32" customWidth="1"/>
    <col min="2" max="2" width="20" customWidth="1"/>
    <col min="3" max="29" width="15" customWidth="1"/>
  </cols>
  <sheetData>
    <row r="1" spans="1:12" ht="18" customHeight="1" x14ac:dyDescent="0.35">
      <c r="A1" s="59" t="s">
        <v>243</v>
      </c>
      <c r="B1" s="60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 customHeight="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3">
      <c r="A4" s="14" t="s">
        <v>145</v>
      </c>
      <c r="B4" s="15" t="s">
        <v>180</v>
      </c>
      <c r="C4" s="15" t="s">
        <v>244</v>
      </c>
      <c r="D4" s="15" t="s">
        <v>245</v>
      </c>
      <c r="E4" s="15" t="s">
        <v>212</v>
      </c>
      <c r="F4" s="15" t="s">
        <v>246</v>
      </c>
      <c r="G4" s="15" t="s">
        <v>247</v>
      </c>
      <c r="H4" s="15" t="s">
        <v>248</v>
      </c>
      <c r="I4" s="15" t="s">
        <v>249</v>
      </c>
      <c r="J4" s="1"/>
      <c r="K4" s="1"/>
      <c r="L4" s="1"/>
    </row>
    <row r="5" spans="1:12" ht="18" customHeight="1" x14ac:dyDescent="0.3">
      <c r="A5" s="2">
        <v>0</v>
      </c>
      <c r="B5" s="1"/>
      <c r="C5" s="1"/>
      <c r="D5" s="1"/>
      <c r="E5" s="1"/>
      <c r="F5" s="1"/>
      <c r="G5" s="1"/>
      <c r="H5" s="1"/>
      <c r="I5" s="4">
        <f>-'Debt &amp; Refi'!B6</f>
        <v>-4612500</v>
      </c>
      <c r="J5" s="1"/>
      <c r="K5" s="1"/>
      <c r="L5" s="1"/>
    </row>
    <row r="6" spans="1:12" ht="18" customHeight="1" x14ac:dyDescent="0.3">
      <c r="A6" s="2">
        <v>1</v>
      </c>
      <c r="B6" s="4">
        <f>'Operating Expenses'!B17</f>
        <v>526093.65540703945</v>
      </c>
      <c r="C6" s="4">
        <f>SUM('Expansion CapEx'!F17:F28)</f>
        <v>0</v>
      </c>
      <c r="D6" s="4">
        <f>SUM('Debt &amp; Refi'!C14:C25)</f>
        <v>0</v>
      </c>
      <c r="E6" s="4">
        <f>SUM('Debt &amp; Refi'!I14:I25)</f>
        <v>0</v>
      </c>
      <c r="F6" s="4">
        <f>Fees!F5</f>
        <v>15964.636664321673</v>
      </c>
      <c r="G6" s="17">
        <f>B6+C6-D6+E6-F6</f>
        <v>510129.0187427178</v>
      </c>
      <c r="H6" s="4">
        <f>IF(A6=Inputs!$B$36/12,MAX(0,B6/Inputs!$B$35*(1-Inputs!$B$37)-'Debt &amp; Refi'!J73),0)</f>
        <v>0</v>
      </c>
      <c r="I6" s="17">
        <f>G6+H6</f>
        <v>510129.0187427178</v>
      </c>
      <c r="J6" s="1"/>
      <c r="K6" s="1"/>
      <c r="L6" s="1"/>
    </row>
    <row r="7" spans="1:12" ht="18" customHeight="1" x14ac:dyDescent="0.3">
      <c r="A7" s="2">
        <v>2</v>
      </c>
      <c r="B7" s="4">
        <f>'Operating Expenses'!C17</f>
        <v>733919.61413143028</v>
      </c>
      <c r="C7" s="4">
        <f>SUM('Expansion CapEx'!F29:F40)</f>
        <v>0</v>
      </c>
      <c r="D7" s="4">
        <f>SUM('Debt &amp; Refi'!C26:C37)</f>
        <v>0</v>
      </c>
      <c r="E7" s="4">
        <f>SUM('Debt &amp; Refi'!I26:I37)</f>
        <v>0</v>
      </c>
      <c r="F7" s="4">
        <f>Fees!F6</f>
        <v>19283.85684101794</v>
      </c>
      <c r="G7" s="17">
        <f>B7+C7-D7+E7-F7</f>
        <v>714635.75729041232</v>
      </c>
      <c r="H7" s="4">
        <f>IF(A7=Inputs!$B$36/12,MAX(0,B7/Inputs!$B$35*(1-Inputs!$B$37)-'Debt &amp; Refi'!J73),0)</f>
        <v>0</v>
      </c>
      <c r="I7" s="17">
        <f>G7+H7</f>
        <v>714635.75729041232</v>
      </c>
      <c r="J7" s="1"/>
      <c r="K7" s="1"/>
      <c r="L7" s="1"/>
    </row>
    <row r="8" spans="1:12" ht="18" customHeight="1" x14ac:dyDescent="0.3">
      <c r="A8" s="2">
        <v>3</v>
      </c>
      <c r="B8" s="4">
        <f>'Operating Expenses'!D17</f>
        <v>928705.84117612045</v>
      </c>
      <c r="C8" s="4">
        <f>SUM('Expansion CapEx'!F41:F52)</f>
        <v>82582.5</v>
      </c>
      <c r="D8" s="4">
        <f>SUM('Debt &amp; Refi'!C38:C49)</f>
        <v>0</v>
      </c>
      <c r="E8" s="4">
        <f>SUM('Debt &amp; Refi'!I38:I49)</f>
        <v>0</v>
      </c>
      <c r="F8" s="4">
        <f>Fees!F7</f>
        <v>22412.526812414453</v>
      </c>
      <c r="G8" s="17">
        <f>B8+C8-D8+E8-F8</f>
        <v>988875.81436370604</v>
      </c>
      <c r="H8" s="4">
        <f>IF(A8=Inputs!$B$36/12,MAX(0,B8/Inputs!$B$35*(1-Inputs!$B$37)-'Debt &amp; Refi'!J73),0)</f>
        <v>0</v>
      </c>
      <c r="I8" s="17">
        <f>G8+H8</f>
        <v>988875.81436370604</v>
      </c>
      <c r="J8" s="1"/>
      <c r="K8" s="1"/>
      <c r="L8" s="1"/>
    </row>
    <row r="9" spans="1:12" ht="18" customHeight="1" x14ac:dyDescent="0.3">
      <c r="A9" s="2">
        <v>4</v>
      </c>
      <c r="B9" s="4">
        <f>'Operating Expenses'!E17</f>
        <v>1133439.5362513708</v>
      </c>
      <c r="C9" s="4">
        <f>SUM('Expansion CapEx'!F53:F64)</f>
        <v>180180</v>
      </c>
      <c r="D9" s="4">
        <f>SUM('Debt &amp; Refi'!C50:C61)</f>
        <v>0</v>
      </c>
      <c r="E9" s="4">
        <f>SUM('Debt &amp; Refi'!I50:I61)</f>
        <v>0</v>
      </c>
      <c r="F9" s="4">
        <f>Fees!F8</f>
        <v>25695.580718412522</v>
      </c>
      <c r="G9" s="17">
        <f>B9+C9-D9+E9-F9</f>
        <v>1287923.9555329583</v>
      </c>
      <c r="H9" s="4">
        <f>IF(A9=Inputs!$B$36/12,MAX(0,B9/Inputs!$B$35*(1-Inputs!$B$37)-'Debt &amp; Refi'!J73),0)</f>
        <v>0</v>
      </c>
      <c r="I9" s="17">
        <f>G9+H9</f>
        <v>1287923.9555329583</v>
      </c>
      <c r="J9" s="1"/>
      <c r="K9" s="1"/>
      <c r="L9" s="1"/>
    </row>
    <row r="10" spans="1:12" ht="18" customHeight="1" x14ac:dyDescent="0.3">
      <c r="A10" s="2">
        <v>5</v>
      </c>
      <c r="B10" s="4">
        <f>'Operating Expenses'!F17</f>
        <v>1190879.8424329695</v>
      </c>
      <c r="C10" s="4">
        <f>SUM('Expansion CapEx'!F65:F76)</f>
        <v>180180</v>
      </c>
      <c r="D10" s="4">
        <f>SUM('Debt &amp; Refi'!C62:C73)</f>
        <v>0</v>
      </c>
      <c r="E10" s="4">
        <f>SUM('Debt &amp; Refi'!I62:I73)</f>
        <v>0</v>
      </c>
      <c r="F10" s="4">
        <f>Fees!F9</f>
        <v>26774.535003002555</v>
      </c>
      <c r="G10" s="17">
        <f>B10+C10-D10+E10-F10</f>
        <v>1344285.307429967</v>
      </c>
      <c r="H10" s="4">
        <f>IF(A10=Inputs!$B$36/12,MAX(0,B10/Inputs!$B$35*(1-Inputs!$B$37)-'Debt &amp; Refi'!J73),0)</f>
        <v>16097410.283921519</v>
      </c>
      <c r="I10" s="17">
        <f>G10+H10</f>
        <v>17441695.591351487</v>
      </c>
      <c r="J10" s="1"/>
      <c r="K10" s="1"/>
      <c r="L10" s="1"/>
    </row>
    <row r="11" spans="1:12" ht="18" customHeight="1" x14ac:dyDescent="0.3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" customHeight="1" x14ac:dyDescent="0.3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" customHeight="1" x14ac:dyDescent="0.3">
      <c r="A13" s="58" t="s">
        <v>250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 ht="18" customHeight="1" x14ac:dyDescent="0.3">
      <c r="A14" s="2" t="s">
        <v>251</v>
      </c>
      <c r="B14" s="17">
        <f>-I5</f>
        <v>4612500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" customHeight="1" x14ac:dyDescent="0.3">
      <c r="A15" s="2" t="s">
        <v>12</v>
      </c>
      <c r="B15" s="4">
        <f>B10/Inputs!B35</f>
        <v>16425928.861144409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" customHeight="1" x14ac:dyDescent="0.3">
      <c r="A16" s="2" t="s">
        <v>7</v>
      </c>
      <c r="B16" s="16">
        <f>IRR(I5:I10)</f>
        <v>0.40394316718926571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" customHeight="1" x14ac:dyDescent="0.3">
      <c r="A17" s="2" t="s">
        <v>8</v>
      </c>
      <c r="B17" s="27">
        <f>SUM(I6:I10)/ABS(I5)</f>
        <v>4.5405442032046137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" customHeight="1" x14ac:dyDescent="0.3">
      <c r="A18" s="2" t="s">
        <v>9</v>
      </c>
      <c r="B18" s="16">
        <f>AVERAGE(G6:G10)/ABS(I5)</f>
        <v>0.21011815082318744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" customHeight="1" x14ac:dyDescent="0.3">
      <c r="A19" s="2" t="s">
        <v>10</v>
      </c>
      <c r="B19" s="5" t="str">
        <f>IF(Inputs!$B$49="Yes","N/A",IFERROR('Operating Expenses'!B17/'Debt &amp; Refi'!B7,"N/A"))</f>
        <v>N/A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" customHeight="1" x14ac:dyDescent="0.3">
      <c r="A20" s="2" t="s">
        <v>11</v>
      </c>
      <c r="B20" s="5" t="str">
        <f>IF(Inputs!$B$49="Yes","N/A",IFERROR('Operating Expenses'!B17/'Debt &amp; Refi'!B5,"N/A"))</f>
        <v>N/A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" customHeight="1" x14ac:dyDescent="0.3"/>
    <row r="22" spans="1:12" ht="18" customHeight="1" x14ac:dyDescent="0.3">
      <c r="A22" s="31" t="s">
        <v>252</v>
      </c>
      <c r="B22" s="31"/>
    </row>
    <row r="23" spans="1:12" ht="18" customHeight="1" x14ac:dyDescent="0.3">
      <c r="A23" s="33" t="s">
        <v>19</v>
      </c>
      <c r="B23" s="35">
        <f>'Unlevered Scenarios'!B22</f>
        <v>0.14687227140599979</v>
      </c>
    </row>
    <row r="24" spans="1:12" ht="18" customHeight="1" x14ac:dyDescent="0.3">
      <c r="A24" s="33" t="s">
        <v>20</v>
      </c>
      <c r="B24" s="36">
        <f>'Unlevered Scenarios'!B23</f>
        <v>1.8700096298464699</v>
      </c>
    </row>
    <row r="25" spans="1:12" ht="18" customHeight="1" x14ac:dyDescent="0.3">
      <c r="A25" s="33" t="s">
        <v>21</v>
      </c>
      <c r="B25" s="35">
        <f>'Unlevered Scenarios'!B24</f>
        <v>8.00763903917667E-2</v>
      </c>
    </row>
    <row r="26" spans="1:12" ht="18" customHeight="1" x14ac:dyDescent="0.3">
      <c r="A26" s="33" t="s">
        <v>22</v>
      </c>
      <c r="B26" s="34">
        <f>'Unlevered Scenarios'!B25</f>
        <v>15534421.9065238</v>
      </c>
    </row>
    <row r="27" spans="1:12" ht="18" customHeight="1" x14ac:dyDescent="0.3">
      <c r="A27" s="33" t="s">
        <v>253</v>
      </c>
      <c r="B27" s="34">
        <f>'Unlevered Scenarios'!B26</f>
        <v>15223733.4683934</v>
      </c>
    </row>
    <row r="28" spans="1:12" ht="18" customHeight="1" x14ac:dyDescent="0.3">
      <c r="A28" s="33" t="s">
        <v>23</v>
      </c>
      <c r="B28" s="35">
        <f>'Unlevered Scenarios'!B27</f>
        <v>0.10575075945755601</v>
      </c>
    </row>
    <row r="29" spans="1:12" ht="18" customHeight="1" x14ac:dyDescent="0.3">
      <c r="A29" s="33" t="s">
        <v>254</v>
      </c>
      <c r="B29" s="38" t="s">
        <v>255</v>
      </c>
    </row>
    <row r="30" spans="1:12" ht="18" customHeight="1" x14ac:dyDescent="0.3"/>
    <row r="31" spans="1:12" ht="18" customHeight="1" x14ac:dyDescent="0.3">
      <c r="A31" s="44" t="s">
        <v>256</v>
      </c>
      <c r="B31" s="44"/>
    </row>
    <row r="32" spans="1:12" ht="18" customHeight="1" x14ac:dyDescent="0.3">
      <c r="A32" s="37" t="s">
        <v>25</v>
      </c>
      <c r="B32" s="54">
        <f>'GP-LP Waterfall'!B20</f>
        <v>3.8484353625636905</v>
      </c>
    </row>
    <row r="33" spans="1:2" ht="18" customHeight="1" x14ac:dyDescent="0.3">
      <c r="A33" s="37" t="s">
        <v>26</v>
      </c>
      <c r="B33" s="54" t="str">
        <f>'GP-LP Waterfall'!B21</f>
        <v>N/A</v>
      </c>
    </row>
    <row r="34" spans="1:2" ht="18" customHeight="1" x14ac:dyDescent="0.3">
      <c r="A34" s="37" t="s">
        <v>27</v>
      </c>
      <c r="B34" s="54">
        <f>B17</f>
        <v>4.5405442032046137</v>
      </c>
    </row>
    <row r="35" spans="1:2" ht="18" customHeight="1" x14ac:dyDescent="0.3">
      <c r="A35" s="37" t="s">
        <v>28</v>
      </c>
      <c r="B35" s="40">
        <f>B10/'Debt &amp; Refi'!B4</f>
        <v>0.25818533169278474</v>
      </c>
    </row>
    <row r="36" spans="1:2" ht="18" customHeight="1" x14ac:dyDescent="0.3">
      <c r="A36" s="37" t="s">
        <v>29</v>
      </c>
      <c r="B36" s="40">
        <f>B10/B15</f>
        <v>7.2499999999999995E-2</v>
      </c>
    </row>
    <row r="37" spans="1:2" ht="18" customHeight="1" x14ac:dyDescent="0.3">
      <c r="A37" s="37"/>
      <c r="B37" s="37"/>
    </row>
    <row r="38" spans="1:2" ht="18" customHeight="1" x14ac:dyDescent="0.3">
      <c r="A38" s="44" t="s">
        <v>30</v>
      </c>
      <c r="B38" s="44"/>
    </row>
    <row r="39" spans="1:2" ht="18" customHeight="1" x14ac:dyDescent="0.3">
      <c r="A39" s="37" t="s">
        <v>31</v>
      </c>
      <c r="B39" s="55">
        <f>IFERROR(Inputs!B4/('Unit Mix &amp; Market Comps'!B11*'Unit Mix &amp; Market Comps'!C11),"N/A")</f>
        <v>89.005235602094245</v>
      </c>
    </row>
    <row r="40" spans="1:2" ht="18" customHeight="1" x14ac:dyDescent="0.3">
      <c r="A40" s="37" t="s">
        <v>32</v>
      </c>
      <c r="B40" s="55">
        <f>IFERROR(Inputs!B4/'Unit Mix &amp; Market Comps'!B11,"N/A")</f>
        <v>8415.8415841584156</v>
      </c>
    </row>
    <row r="41" spans="1:2" ht="18" customHeight="1" x14ac:dyDescent="0.3">
      <c r="A41" s="37" t="s">
        <v>34</v>
      </c>
      <c r="B41" s="40">
        <f>IFERROR('Operating Expenses'!B17/Inputs!B4,"N/A")</f>
        <v>0.12378674244871517</v>
      </c>
    </row>
    <row r="42" spans="1:2" ht="18" customHeight="1" x14ac:dyDescent="0.3">
      <c r="A42" s="37" t="s">
        <v>33</v>
      </c>
      <c r="B42" s="40">
        <f>IFERROR('Operating Expenses'!F17/Inputs!B4,"N/A")</f>
        <v>0.28020702174893397</v>
      </c>
    </row>
    <row r="43" spans="1:2" ht="18" customHeight="1" x14ac:dyDescent="0.3">
      <c r="A43" s="37" t="s">
        <v>257</v>
      </c>
      <c r="B43" s="55">
        <f>IFERROR('Debt &amp; Refi'!B4/('Unit Mix &amp; Market Comps'!B11*'Unit Mix &amp; Market Comps'!C11),"N/A")</f>
        <v>96.596858638743456</v>
      </c>
    </row>
    <row r="44" spans="1:2" ht="18" customHeight="1" x14ac:dyDescent="0.3">
      <c r="A44" s="37" t="s">
        <v>258</v>
      </c>
      <c r="B44" s="55">
        <f>IFERROR('Debt &amp; Refi'!B4/'Unit Mix &amp; Market Comps'!B11,"N/A")</f>
        <v>9133.6633663366338</v>
      </c>
    </row>
    <row r="45" spans="1:2" ht="18" customHeight="1" x14ac:dyDescent="0.3">
      <c r="A45" s="37"/>
      <c r="B45" s="37"/>
    </row>
    <row r="46" spans="1:2" ht="18" customHeight="1" x14ac:dyDescent="0.3">
      <c r="A46" s="37" t="s">
        <v>35</v>
      </c>
      <c r="B46" s="37" t="str">
        <f>Inputs!B50</f>
        <v>Levered</v>
      </c>
    </row>
    <row r="47" spans="1:2" ht="18" customHeight="1" x14ac:dyDescent="0.3">
      <c r="A47" s="37" t="s">
        <v>36</v>
      </c>
      <c r="B47" s="37" t="str">
        <f>Inputs!B49</f>
        <v>No</v>
      </c>
    </row>
    <row r="48" spans="1:2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2">
    <mergeCell ref="A13:L13"/>
    <mergeCell ref="A1:L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9"/>
  <sheetViews>
    <sheetView showGridLines="0" workbookViewId="0"/>
  </sheetViews>
  <sheetFormatPr defaultRowHeight="14.4" x14ac:dyDescent="0.3"/>
  <cols>
    <col min="1" max="1" width="34" customWidth="1"/>
    <col min="2" max="29" width="15" customWidth="1"/>
  </cols>
  <sheetData>
    <row r="1" spans="1:10" ht="18" customHeight="1" x14ac:dyDescent="0.35">
      <c r="A1" s="56" t="s">
        <v>259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3">
      <c r="A3" s="58" t="s">
        <v>260</v>
      </c>
      <c r="B3" s="57"/>
      <c r="C3" s="57"/>
      <c r="D3" s="57"/>
      <c r="E3" s="57"/>
      <c r="F3" s="57"/>
      <c r="G3" s="57"/>
      <c r="H3" s="57"/>
      <c r="I3" s="57"/>
      <c r="J3" s="57"/>
    </row>
    <row r="4" spans="1:10" ht="18" customHeight="1" x14ac:dyDescent="0.3">
      <c r="A4" s="14" t="s">
        <v>261</v>
      </c>
      <c r="B4" s="9">
        <v>8000000</v>
      </c>
      <c r="C4" s="9">
        <v>9000000</v>
      </c>
      <c r="D4" s="9">
        <v>10000000</v>
      </c>
      <c r="E4" s="9">
        <v>11000000</v>
      </c>
      <c r="F4" s="9">
        <v>12000000</v>
      </c>
      <c r="G4" s="1"/>
      <c r="H4" s="1"/>
      <c r="I4" s="1"/>
      <c r="J4" s="1"/>
    </row>
    <row r="5" spans="1:10" ht="18" customHeight="1" x14ac:dyDescent="0.3">
      <c r="A5" s="28">
        <v>6.5000000000000002E-2</v>
      </c>
      <c r="B5" s="5">
        <f>((('Operating Expenses'!F17/B$4)*(1-$A5)+0.01)*5)</f>
        <v>0.7459204079217665</v>
      </c>
      <c r="C5" s="5">
        <f>((('Operating Expenses'!F17/C$4)*(1-$A5)+0.01)*5)</f>
        <v>0.66859591815268138</v>
      </c>
      <c r="D5" s="5">
        <f>((('Operating Expenses'!F17/D$4)*(1-$A5)+0.01)*5)</f>
        <v>0.60673632633741326</v>
      </c>
      <c r="E5" s="5">
        <f>((('Operating Expenses'!F17/E$4)*(1-$A5)+0.01)*5)</f>
        <v>0.55612393303401197</v>
      </c>
      <c r="F5" s="5">
        <f>((('Operating Expenses'!F17/F$4)*(1-$A5)+0.01)*5)</f>
        <v>0.51394693861451102</v>
      </c>
      <c r="G5" s="1"/>
      <c r="H5" s="1"/>
      <c r="I5" s="1"/>
      <c r="J5" s="1"/>
    </row>
    <row r="6" spans="1:10" ht="18" customHeight="1" x14ac:dyDescent="0.3">
      <c r="A6" s="28">
        <v>7.0000000000000007E-2</v>
      </c>
      <c r="B6" s="5">
        <f>((('Operating Expenses'!F17/B$4)*(1-$A6)+0.01)*5)</f>
        <v>0.74219890841416347</v>
      </c>
      <c r="C6" s="5">
        <f>((('Operating Expenses'!F17/C$4)*(1-$A6)+0.01)*5)</f>
        <v>0.66528791859036751</v>
      </c>
      <c r="D6" s="5">
        <f>((('Operating Expenses'!F17/D$4)*(1-$A6)+0.01)*5)</f>
        <v>0.6037591267313307</v>
      </c>
      <c r="E6" s="5">
        <f>((('Operating Expenses'!F17/E$4)*(1-$A6)+0.01)*5)</f>
        <v>0.55341738793757345</v>
      </c>
      <c r="F6" s="5">
        <f>((('Operating Expenses'!F17/F$4)*(1-$A6)+0.01)*5)</f>
        <v>0.5114659389427757</v>
      </c>
      <c r="G6" s="1"/>
      <c r="H6" s="1"/>
      <c r="I6" s="1"/>
      <c r="J6" s="1"/>
    </row>
    <row r="7" spans="1:10" ht="18" customHeight="1" x14ac:dyDescent="0.3">
      <c r="A7" s="28">
        <v>7.2499999999999995E-2</v>
      </c>
      <c r="B7" s="5">
        <f>((('Operating Expenses'!F17/B$4)*(1-$A7)+0.01)*5)</f>
        <v>0.74033815866036201</v>
      </c>
      <c r="C7" s="5">
        <f>((('Operating Expenses'!F17/C$4)*(1-$A7)+0.01)*5)</f>
        <v>0.66363391880921063</v>
      </c>
      <c r="D7" s="5">
        <f>((('Operating Expenses'!F17/D$4)*(1-$A7)+0.01)*5)</f>
        <v>0.60227052692828953</v>
      </c>
      <c r="E7" s="5">
        <f>((('Operating Expenses'!F17/E$4)*(1-$A7)+0.01)*5)</f>
        <v>0.55206411538935418</v>
      </c>
      <c r="F7" s="5">
        <f>((('Operating Expenses'!F17/F$4)*(1-$A7)+0.01)*5)</f>
        <v>0.51022543910690799</v>
      </c>
      <c r="G7" s="1"/>
      <c r="H7" s="1"/>
      <c r="I7" s="1"/>
      <c r="J7" s="1"/>
    </row>
    <row r="8" spans="1:10" ht="18" customHeight="1" x14ac:dyDescent="0.3">
      <c r="A8" s="28">
        <v>7.4999999999999997E-2</v>
      </c>
      <c r="B8" s="5">
        <f>((('Operating Expenses'!F17/B$4)*(1-$A8)+0.01)*5)</f>
        <v>0.73847740890656055</v>
      </c>
      <c r="C8" s="5">
        <f>((('Operating Expenses'!F17/C$4)*(1-$A8)+0.01)*5)</f>
        <v>0.66197991902805386</v>
      </c>
      <c r="D8" s="5">
        <f>((('Operating Expenses'!F17/D$4)*(1-$A8)+0.01)*5)</f>
        <v>0.60078192712524836</v>
      </c>
      <c r="E8" s="5">
        <f>((('Operating Expenses'!F17/E$4)*(1-$A8)+0.01)*5)</f>
        <v>0.55071084284113492</v>
      </c>
      <c r="F8" s="5">
        <f>((('Operating Expenses'!F17/F$4)*(1-$A8)+0.01)*5)</f>
        <v>0.50898493927104038</v>
      </c>
      <c r="G8" s="1"/>
      <c r="H8" s="1"/>
      <c r="I8" s="1"/>
      <c r="J8" s="1"/>
    </row>
    <row r="9" spans="1:10" ht="18" customHeight="1" x14ac:dyDescent="0.3">
      <c r="A9" s="28">
        <v>0.08</v>
      </c>
      <c r="B9" s="5">
        <f>((('Operating Expenses'!F17/B$4)*(1-$A9)+0.01)*5)</f>
        <v>0.73475590939895752</v>
      </c>
      <c r="C9" s="5">
        <f>((('Operating Expenses'!F17/C$4)*(1-$A9)+0.01)*5)</f>
        <v>0.65867191946574</v>
      </c>
      <c r="D9" s="5">
        <f>((('Operating Expenses'!F17/D$4)*(1-$A9)+0.01)*5)</f>
        <v>0.59780472751916591</v>
      </c>
      <c r="E9" s="5">
        <f>((('Operating Expenses'!F17/E$4)*(1-$A9)+0.01)*5)</f>
        <v>0.54800429774469628</v>
      </c>
      <c r="F9" s="5">
        <f>((('Operating Expenses'!F17/F$4)*(1-$A9)+0.01)*5)</f>
        <v>0.50650393959930495</v>
      </c>
      <c r="G9" s="1"/>
      <c r="H9" s="1"/>
      <c r="I9" s="1"/>
      <c r="J9" s="1"/>
    </row>
    <row r="10" spans="1:10" ht="18" customHeight="1" x14ac:dyDescent="0.3">
      <c r="A10" s="2"/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 x14ac:dyDescent="0.3">
      <c r="A11" s="2"/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 x14ac:dyDescent="0.3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3">
      <c r="A13" s="58" t="s">
        <v>262</v>
      </c>
      <c r="B13" s="57"/>
      <c r="C13" s="57"/>
      <c r="D13" s="57"/>
      <c r="E13" s="57"/>
      <c r="F13" s="57"/>
      <c r="G13" s="57"/>
      <c r="H13" s="57"/>
      <c r="I13" s="57"/>
      <c r="J13" s="57"/>
    </row>
    <row r="14" spans="1:10" ht="18" customHeight="1" x14ac:dyDescent="0.3">
      <c r="A14" s="14" t="s">
        <v>263</v>
      </c>
      <c r="B14" s="10">
        <v>0.82</v>
      </c>
      <c r="C14" s="10">
        <v>0.86</v>
      </c>
      <c r="D14" s="10">
        <v>0.9</v>
      </c>
      <c r="E14" s="10">
        <v>0.92</v>
      </c>
      <c r="F14" s="10">
        <v>0.94</v>
      </c>
      <c r="G14" s="1"/>
      <c r="H14" s="1"/>
      <c r="I14" s="1"/>
      <c r="J14" s="1"/>
    </row>
    <row r="15" spans="1:10" ht="18" customHeight="1" x14ac:dyDescent="0.3">
      <c r="A15" s="28">
        <v>0.02</v>
      </c>
      <c r="B15" s="4">
        <f>('Unit Mix &amp; Market Comps'!$H$11*(1+$A15)^5*B$14*(1-Inputs!$B$17)+Inputs!$B$21*12)-'Operating Expenses'!F15</f>
        <v>531359.89755014912</v>
      </c>
      <c r="C15" s="4">
        <f>('Unit Mix &amp; Market Comps'!$H$11*(1+$A15)^5*C$14*(1-Inputs!$B$17)+Inputs!$B$21*12)-'Operating Expenses'!F15</f>
        <v>584796.43683392252</v>
      </c>
      <c r="D15" s="4">
        <f>('Unit Mix &amp; Market Comps'!$H$11*(1+$A15)^5*D$14*(1-Inputs!$B$17)+Inputs!$B$21*12)-'Operating Expenses'!F15</f>
        <v>638232.97611769591</v>
      </c>
      <c r="E15" s="4">
        <f>('Unit Mix &amp; Market Comps'!$H$11*(1+$A15)^5*E$14*(1-Inputs!$B$17)+Inputs!$B$21*12)-'Operating Expenses'!F15</f>
        <v>664951.24575958238</v>
      </c>
      <c r="F15" s="4">
        <f>('Unit Mix &amp; Market Comps'!$H$11*(1+$A15)^5*F$14*(1-Inputs!$B$17)+Inputs!$B$21*12)-'Operating Expenses'!F15</f>
        <v>691669.51540146885</v>
      </c>
      <c r="G15" s="1"/>
      <c r="H15" s="1"/>
      <c r="I15" s="1"/>
      <c r="J15" s="1"/>
    </row>
    <row r="16" spans="1:10" ht="18" customHeight="1" x14ac:dyDescent="0.3">
      <c r="A16" s="28">
        <v>0.03</v>
      </c>
      <c r="B16" s="4">
        <f>('Unit Mix &amp; Market Comps'!$H$11*(1+$A16)^5*B$14*(1-Inputs!$B$17)+Inputs!$B$21*12)-'Operating Expenses'!F15</f>
        <v>586121.66544895852</v>
      </c>
      <c r="C16" s="4">
        <f>('Unit Mix &amp; Market Comps'!$H$11*(1+$A16)^5*C$14*(1-Inputs!$B$17)+Inputs!$B$21*12)-'Operating Expenses'!F15</f>
        <v>642229.5104838931</v>
      </c>
      <c r="D16" s="4">
        <f>('Unit Mix &amp; Market Comps'!$H$11*(1+$A16)^5*D$14*(1-Inputs!$B$17)+Inputs!$B$21*12)-'Operating Expenses'!F15</f>
        <v>698337.35551882768</v>
      </c>
      <c r="E16" s="4">
        <f>('Unit Mix &amp; Market Comps'!$H$11*(1+$A16)^5*E$14*(1-Inputs!$B$17)+Inputs!$B$21*12)-'Operating Expenses'!F15</f>
        <v>726391.27803629497</v>
      </c>
      <c r="F16" s="4">
        <f>('Unit Mix &amp; Market Comps'!$H$11*(1+$A16)^5*F$14*(1-Inputs!$B$17)+Inputs!$B$21*12)-'Operating Expenses'!F15</f>
        <v>754445.20055376249</v>
      </c>
      <c r="G16" s="1"/>
      <c r="H16" s="1"/>
      <c r="I16" s="1"/>
      <c r="J16" s="1"/>
    </row>
    <row r="17" spans="1:10" ht="18" customHeight="1" x14ac:dyDescent="0.3">
      <c r="A17" s="28">
        <v>0.04</v>
      </c>
      <c r="B17" s="4">
        <f>('Unit Mix &amp; Market Comps'!$H$11*(1+$A17)^5*B$14*(1-Inputs!$B$17)+Inputs!$B$21*12)-'Operating Expenses'!F15</f>
        <v>643051.90357572027</v>
      </c>
      <c r="C17" s="4">
        <f>('Unit Mix &amp; Market Comps'!$H$11*(1+$A17)^5*C$14*(1-Inputs!$B$17)+Inputs!$B$21*12)-'Operating Expenses'!F15</f>
        <v>701936.83339732606</v>
      </c>
      <c r="D17" s="4">
        <f>('Unit Mix &amp; Market Comps'!$H$11*(1+$A17)^5*D$14*(1-Inputs!$B$17)+Inputs!$B$21*12)-'Operating Expenses'!F15</f>
        <v>760821.76321893209</v>
      </c>
      <c r="E17" s="4">
        <f>('Unit Mix &amp; Market Comps'!$H$11*(1+$A17)^5*E$14*(1-Inputs!$B$17)+Inputs!$B$21*12)-'Operating Expenses'!F15</f>
        <v>790264.22812973522</v>
      </c>
      <c r="F17" s="4">
        <f>('Unit Mix &amp; Market Comps'!$H$11*(1+$A17)^5*F$14*(1-Inputs!$B$17)+Inputs!$B$21*12)-'Operating Expenses'!F15</f>
        <v>819706.69304053788</v>
      </c>
      <c r="G17" s="1"/>
      <c r="H17" s="1"/>
      <c r="I17" s="1"/>
      <c r="J17" s="1"/>
    </row>
    <row r="18" spans="1:10" ht="18" customHeight="1" x14ac:dyDescent="0.3">
      <c r="A18" s="28">
        <v>0.05</v>
      </c>
      <c r="B18" s="4">
        <f>('Unit Mix &amp; Market Comps'!$H$11*(1+$A18)^5*B$14*(1-Inputs!$B$17)+Inputs!$B$21*12)-'Operating Expenses'!F15</f>
        <v>702214.38442591182</v>
      </c>
      <c r="C18" s="4">
        <f>('Unit Mix &amp; Market Comps'!$H$11*(1+$A18)^5*C$14*(1-Inputs!$B$17)+Inputs!$B$21*12)-'Operating Expenses'!F15</f>
        <v>763985.28892313689</v>
      </c>
      <c r="D18" s="4">
        <f>('Unit Mix &amp; Market Comps'!$H$11*(1+$A18)^5*D$14*(1-Inputs!$B$17)+Inputs!$B$21*12)-'Operating Expenses'!F15</f>
        <v>825756.19342036196</v>
      </c>
      <c r="E18" s="4">
        <f>('Unit Mix &amp; Market Comps'!$H$11*(1+$A18)^5*E$14*(1-Inputs!$B$17)+Inputs!$B$21*12)-'Operating Expenses'!F15</f>
        <v>856641.64566897438</v>
      </c>
      <c r="F18" s="4">
        <f>('Unit Mix &amp; Market Comps'!$H$11*(1+$A18)^5*F$14*(1-Inputs!$B$17)+Inputs!$B$21*12)-'Operating Expenses'!F15</f>
        <v>887527.0979175868</v>
      </c>
      <c r="G18" s="1"/>
      <c r="H18" s="1"/>
      <c r="I18" s="1"/>
      <c r="J18" s="1"/>
    </row>
    <row r="19" spans="1:10" ht="18" customHeight="1" x14ac:dyDescent="0.3">
      <c r="A19" s="28">
        <v>0.06</v>
      </c>
      <c r="B19" s="4">
        <f>('Unit Mix &amp; Market Comps'!$H$11*(1+$A19)^5*B$14*(1-Inputs!$B$17)+Inputs!$B$21*12)-'Operating Expenses'!F15</f>
        <v>763674.11873809947</v>
      </c>
      <c r="C19" s="4">
        <f>('Unit Mix &amp; Market Comps'!$H$11*(1+$A19)^5*C$14*(1-Inputs!$B$17)+Inputs!$B$21*12)-'Operating Expenses'!F15</f>
        <v>828443.05905543151</v>
      </c>
      <c r="D19" s="4">
        <f>('Unit Mix &amp; Market Comps'!$H$11*(1+$A19)^5*D$14*(1-Inputs!$B$17)+Inputs!$B$21*12)-'Operating Expenses'!F15</f>
        <v>893211.99937276309</v>
      </c>
      <c r="E19" s="4">
        <f>('Unit Mix &amp; Market Comps'!$H$11*(1+$A19)^5*E$14*(1-Inputs!$B$17)+Inputs!$B$21*12)-'Operating Expenses'!F15</f>
        <v>925596.469531429</v>
      </c>
      <c r="F19" s="4">
        <f>('Unit Mix &amp; Market Comps'!$H$11*(1+$A19)^5*F$14*(1-Inputs!$B$17)+Inputs!$B$21*12)-'Operating Expenses'!F15</f>
        <v>957980.93969009467</v>
      </c>
      <c r="G19" s="1"/>
      <c r="H19" s="1"/>
      <c r="I19" s="1"/>
      <c r="J19" s="1"/>
    </row>
    <row r="20" spans="1:10" ht="18" customHeight="1" x14ac:dyDescent="0.3"/>
    <row r="21" spans="1:10" ht="18" customHeight="1" x14ac:dyDescent="0.3"/>
    <row r="22" spans="1:10" ht="18" customHeight="1" x14ac:dyDescent="0.3"/>
    <row r="23" spans="1:10" ht="18" customHeight="1" x14ac:dyDescent="0.3"/>
    <row r="24" spans="1:10" ht="18" customHeight="1" x14ac:dyDescent="0.3"/>
    <row r="25" spans="1:10" ht="18" customHeight="1" x14ac:dyDescent="0.3"/>
    <row r="26" spans="1:10" ht="18" customHeight="1" x14ac:dyDescent="0.3"/>
    <row r="27" spans="1:10" ht="18" customHeight="1" x14ac:dyDescent="0.3"/>
    <row r="28" spans="1:10" ht="18" customHeight="1" x14ac:dyDescent="0.3"/>
    <row r="29" spans="1:10" ht="18" customHeight="1" x14ac:dyDescent="0.3"/>
    <row r="30" spans="1:10" ht="18" customHeight="1" x14ac:dyDescent="0.3"/>
    <row r="31" spans="1:10" ht="18" customHeight="1" x14ac:dyDescent="0.3"/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3">
    <mergeCell ref="A1:J1"/>
    <mergeCell ref="A13:J13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1"/>
  <sheetViews>
    <sheetView workbookViewId="0"/>
  </sheetViews>
  <sheetFormatPr defaultRowHeight="14.4" x14ac:dyDescent="0.3"/>
  <cols>
    <col min="1" max="1" width="28" customWidth="1"/>
    <col min="2" max="4" width="18" customWidth="1"/>
    <col min="5" max="5" width="28" customWidth="1"/>
    <col min="6" max="6" width="16" customWidth="1"/>
    <col min="7" max="8" width="3" customWidth="1"/>
  </cols>
  <sheetData>
    <row r="1" spans="1:8" x14ac:dyDescent="0.3">
      <c r="A1" s="67" t="s">
        <v>264</v>
      </c>
      <c r="B1" s="60"/>
      <c r="C1" s="57"/>
      <c r="D1" s="57"/>
      <c r="E1" s="57"/>
      <c r="F1" s="57"/>
      <c r="G1" s="57"/>
      <c r="H1" s="57"/>
    </row>
    <row r="3" spans="1:8" x14ac:dyDescent="0.3">
      <c r="A3" s="66" t="s">
        <v>265</v>
      </c>
      <c r="B3" s="57"/>
      <c r="C3" s="57"/>
      <c r="D3" s="57"/>
      <c r="E3" s="57"/>
      <c r="F3" s="57"/>
    </row>
    <row r="4" spans="1:8" x14ac:dyDescent="0.3">
      <c r="A4" t="s">
        <v>2</v>
      </c>
      <c r="B4" s="34">
        <f>10000000</f>
        <v>10000000</v>
      </c>
      <c r="C4" s="34">
        <f>10500000</f>
        <v>10500000</v>
      </c>
      <c r="D4" s="34">
        <f>9500000</f>
        <v>9500000</v>
      </c>
      <c r="E4" s="34">
        <f>10000000</f>
        <v>10000000</v>
      </c>
      <c r="F4" s="34">
        <f>10000000</f>
        <v>10000000</v>
      </c>
    </row>
    <row r="5" spans="1:8" x14ac:dyDescent="0.3">
      <c r="A5" t="s">
        <v>59</v>
      </c>
      <c r="B5" s="35">
        <f>0.02</f>
        <v>0.02</v>
      </c>
      <c r="C5" s="35">
        <f>0.02</f>
        <v>0.02</v>
      </c>
      <c r="D5" s="35">
        <f>0.02</f>
        <v>0.02</v>
      </c>
      <c r="E5" s="35">
        <f>0.02</f>
        <v>0.02</v>
      </c>
      <c r="F5" s="35">
        <f>0.02</f>
        <v>0.02</v>
      </c>
    </row>
    <row r="6" spans="1:8" x14ac:dyDescent="0.3">
      <c r="A6" t="s">
        <v>60</v>
      </c>
      <c r="B6" s="34">
        <f>250000</f>
        <v>250000</v>
      </c>
      <c r="C6" s="34">
        <f>250000</f>
        <v>250000</v>
      </c>
      <c r="D6" s="34">
        <f>250000</f>
        <v>250000</v>
      </c>
      <c r="E6" s="34">
        <f>250000</f>
        <v>250000</v>
      </c>
      <c r="F6" s="34">
        <f>250000</f>
        <v>250000</v>
      </c>
    </row>
    <row r="7" spans="1:8" x14ac:dyDescent="0.3">
      <c r="A7" t="s">
        <v>61</v>
      </c>
      <c r="B7" s="35">
        <f>0.02</f>
        <v>0.02</v>
      </c>
      <c r="C7" s="35">
        <f>0.02</f>
        <v>0.02</v>
      </c>
      <c r="D7" s="35">
        <f>0.02</f>
        <v>0.02</v>
      </c>
      <c r="E7" s="35">
        <f>0.02</f>
        <v>0.02</v>
      </c>
      <c r="F7" s="35">
        <f>0.02</f>
        <v>0.02</v>
      </c>
    </row>
    <row r="8" spans="1:8" x14ac:dyDescent="0.3">
      <c r="A8" t="s">
        <v>87</v>
      </c>
      <c r="B8" s="35">
        <f>0.0725</f>
        <v>7.2499999999999995E-2</v>
      </c>
      <c r="C8" s="35">
        <f>0.0775</f>
        <v>7.7499999999999999E-2</v>
      </c>
      <c r="D8" s="35">
        <f>0.0674999999999999</f>
        <v>6.7499999999999893E-2</v>
      </c>
      <c r="E8" s="35">
        <f>0.0624999999999999</f>
        <v>6.2499999999999903E-2</v>
      </c>
      <c r="F8" s="35">
        <f>0.0824999999999999</f>
        <v>8.2499999999999907E-2</v>
      </c>
    </row>
    <row r="9" spans="1:8" x14ac:dyDescent="0.3">
      <c r="A9" t="s">
        <v>89</v>
      </c>
      <c r="B9" s="35">
        <f>0.02</f>
        <v>0.02</v>
      </c>
      <c r="C9" s="35">
        <f>0.02</f>
        <v>0.02</v>
      </c>
      <c r="D9" s="35">
        <f>0.02</f>
        <v>0.02</v>
      </c>
      <c r="E9" s="35">
        <f>0.02</f>
        <v>0.02</v>
      </c>
      <c r="F9" s="35">
        <f>0.02</f>
        <v>0.02</v>
      </c>
    </row>
    <row r="10" spans="1:8" x14ac:dyDescent="0.3">
      <c r="A10" t="s">
        <v>266</v>
      </c>
      <c r="B10" s="34">
        <f>10650000</f>
        <v>10650000</v>
      </c>
      <c r="C10" s="34">
        <f>11170000</f>
        <v>11170000</v>
      </c>
      <c r="D10" s="34">
        <f>10130000</f>
        <v>10130000</v>
      </c>
      <c r="E10" s="34">
        <f>10650000</f>
        <v>10650000</v>
      </c>
      <c r="F10" s="34">
        <f>10650000</f>
        <v>10650000</v>
      </c>
    </row>
    <row r="12" spans="1:8" x14ac:dyDescent="0.3">
      <c r="A12" s="66" t="s">
        <v>267</v>
      </c>
      <c r="B12" s="57"/>
      <c r="C12" s="57"/>
      <c r="D12" s="57"/>
      <c r="E12" s="57"/>
      <c r="F12" s="57"/>
    </row>
    <row r="13" spans="1:8" x14ac:dyDescent="0.3">
      <c r="A13" s="32" t="s">
        <v>145</v>
      </c>
      <c r="B13" s="32" t="s">
        <v>255</v>
      </c>
      <c r="C13" s="32" t="s">
        <v>268</v>
      </c>
      <c r="D13" s="32" t="s">
        <v>269</v>
      </c>
      <c r="E13" s="32" t="s">
        <v>270</v>
      </c>
      <c r="F13" s="32" t="s">
        <v>271</v>
      </c>
    </row>
    <row r="14" spans="1:8" x14ac:dyDescent="0.3">
      <c r="A14">
        <v>0</v>
      </c>
      <c r="B14" s="34">
        <f>-10650000</f>
        <v>-10650000</v>
      </c>
      <c r="C14" s="34">
        <f>-11170000</f>
        <v>-11170000</v>
      </c>
      <c r="D14" s="34">
        <f>-10130000</f>
        <v>-10130000</v>
      </c>
      <c r="E14" s="34">
        <f>-10650000</f>
        <v>-10650000</v>
      </c>
      <c r="F14" s="34">
        <f>-10650000</f>
        <v>-10650000</v>
      </c>
    </row>
    <row r="15" spans="1:8" x14ac:dyDescent="0.3">
      <c r="A15">
        <v>1</v>
      </c>
      <c r="B15" s="34">
        <f>516576.022727787</f>
        <v>516576.02272778703</v>
      </c>
      <c r="C15" s="34">
        <f>489943.81836461</f>
        <v>489943.81836461002</v>
      </c>
      <c r="D15" s="34">
        <f>543208.227090963</f>
        <v>543208.22709096305</v>
      </c>
      <c r="E15" s="34">
        <f>516576.022727787</f>
        <v>516576.02272778703</v>
      </c>
      <c r="F15" s="34">
        <f>516576.022727787</f>
        <v>516576.02272778703</v>
      </c>
    </row>
    <row r="16" spans="1:8" x14ac:dyDescent="0.3">
      <c r="A16">
        <v>2</v>
      </c>
      <c r="B16" s="34">
        <f>697452.914520699</f>
        <v>697452.91452069895</v>
      </c>
      <c r="C16" s="34">
        <f>661628.890265463</f>
        <v>661628.89026546304</v>
      </c>
      <c r="D16" s="34">
        <f>733276.938775935</f>
        <v>733276.93877593498</v>
      </c>
      <c r="E16" s="34">
        <f>697452.914520699</f>
        <v>697452.91452069895</v>
      </c>
      <c r="F16" s="34">
        <f>697452.914520699</f>
        <v>697452.91452069895</v>
      </c>
    </row>
    <row r="17" spans="1:6" x14ac:dyDescent="0.3">
      <c r="A17">
        <v>3</v>
      </c>
      <c r="B17" s="34">
        <f>956619.699613901</f>
        <v>956619.69961390097</v>
      </c>
      <c r="C17" s="34">
        <f>911821.49798933</f>
        <v>911821.49798932998</v>
      </c>
      <c r="D17" s="34">
        <f>1001417.90123847</f>
        <v>1001417.90123847</v>
      </c>
      <c r="E17" s="34">
        <f>956619.699613901</f>
        <v>956619.69961390097</v>
      </c>
      <c r="F17" s="34">
        <f>956619.699613901</f>
        <v>956619.69961390097</v>
      </c>
    </row>
    <row r="18" spans="1:6" x14ac:dyDescent="0.3">
      <c r="A18">
        <v>4</v>
      </c>
      <c r="B18" s="34">
        <f>1240605.59382687</f>
        <v>1240605.59382687</v>
      </c>
      <c r="C18" s="34">
        <f>1186335.28161739</f>
        <v>1186335.28161739</v>
      </c>
      <c r="D18" s="34">
        <f>1294875.90603635</f>
        <v>1294875.9060363499</v>
      </c>
      <c r="E18" s="34">
        <f>1240605.59382687</f>
        <v>1240605.59382687</v>
      </c>
      <c r="F18" s="34">
        <f>1240605.59382687</f>
        <v>1240605.59382687</v>
      </c>
    </row>
    <row r="19" spans="1:6" x14ac:dyDescent="0.3">
      <c r="A19">
        <v>5</v>
      </c>
      <c r="B19" s="34">
        <f>16504348.3271756</f>
        <v>16504348.3271756</v>
      </c>
      <c r="C19" s="34">
        <f>14753781.8391852</f>
        <v>14753781.839185201</v>
      </c>
      <c r="D19" s="34">
        <f>18505915.4386592</f>
        <v>18505915.438659199</v>
      </c>
      <c r="E19" s="34">
        <f>18940145.6821185</f>
        <v>18940145.682118502</v>
      </c>
      <c r="F19" s="34">
        <f>14659047.3007037</f>
        <v>14659047.300703701</v>
      </c>
    </row>
    <row r="21" spans="1:6" x14ac:dyDescent="0.3">
      <c r="A21" s="31" t="s">
        <v>272</v>
      </c>
      <c r="B21" s="31"/>
      <c r="C21" s="31"/>
      <c r="D21" s="31"/>
      <c r="E21" s="31"/>
      <c r="F21" s="31"/>
    </row>
    <row r="22" spans="1:6" x14ac:dyDescent="0.3">
      <c r="A22" s="66" t="s">
        <v>19</v>
      </c>
      <c r="B22" s="57">
        <f>IRR(B14:B19)</f>
        <v>0.14687227140599979</v>
      </c>
      <c r="C22" s="57">
        <f>IRR(C14:C19)</f>
        <v>0.11026936636689677</v>
      </c>
      <c r="D22" s="57">
        <f>IRR(D14:D19)</f>
        <v>0.18575540145545011</v>
      </c>
      <c r="E22" s="57">
        <f>IRR(E14:E19)</f>
        <v>0.17480275040916449</v>
      </c>
      <c r="F22" s="57">
        <f>IRR(F14:F19)</f>
        <v>0.1236114356985758</v>
      </c>
    </row>
    <row r="23" spans="1:6" x14ac:dyDescent="0.3">
      <c r="A23" s="33" t="s">
        <v>8</v>
      </c>
      <c r="B23" s="36">
        <f>1.87000962984647</f>
        <v>1.8700096298464699</v>
      </c>
      <c r="C23" s="36">
        <f>1.61177361928576</f>
        <v>1.6117736192857599</v>
      </c>
      <c r="D23" s="36">
        <f>2.17953547994087</f>
        <v>2.1795354799408702</v>
      </c>
      <c r="E23" s="36">
        <f>2.09872299650778</f>
        <v>2.0987229965077798</v>
      </c>
      <c r="F23" s="36">
        <f>1.69674192783032</f>
        <v>1.69674192783032</v>
      </c>
    </row>
    <row r="24" spans="1:6" x14ac:dyDescent="0.3">
      <c r="A24" s="33" t="s">
        <v>9</v>
      </c>
      <c r="B24" s="35">
        <f>0.0800763903917667</f>
        <v>8.00763903917667E-2</v>
      </c>
      <c r="C24" s="35">
        <f>0.0727334263258012</f>
        <v>7.2733426325801195E-2</v>
      </c>
      <c r="D24" s="35">
        <f>0.0881732224368639</f>
        <v>8.8173222436863902E-2</v>
      </c>
      <c r="E24" s="35">
        <f>0.0800763903917667</f>
        <v>8.00763903917667E-2</v>
      </c>
      <c r="F24" s="35">
        <f>0.0800763903917667</f>
        <v>8.00763903917667E-2</v>
      </c>
    </row>
    <row r="25" spans="1:6" x14ac:dyDescent="0.3">
      <c r="A25" s="33" t="s">
        <v>12</v>
      </c>
      <c r="B25" s="34">
        <f>15534421.9065238</f>
        <v>15534421.9065238</v>
      </c>
      <c r="C25" s="34">
        <f>13805591.0814429</f>
        <v>13805591.0814429</v>
      </c>
      <c r="D25" s="34">
        <f>17519375.8168019</f>
        <v>17519375.816801898</v>
      </c>
      <c r="E25" s="34">
        <f>18019929.4115677</f>
        <v>18019929.411567699</v>
      </c>
      <c r="F25" s="34">
        <f>13651461.67543</f>
        <v>13651461.67543</v>
      </c>
    </row>
    <row r="26" spans="1:6" x14ac:dyDescent="0.3">
      <c r="A26" s="33" t="s">
        <v>273</v>
      </c>
      <c r="B26" s="34">
        <f>15223733.4683934</f>
        <v>15223733.4683934</v>
      </c>
      <c r="C26" s="34">
        <f>13529479.2598141</f>
        <v>13529479.2598141</v>
      </c>
      <c r="D26" s="34">
        <f>17168988.3004659</f>
        <v>17168988.3004659</v>
      </c>
      <c r="E26" s="34">
        <f>17659530.8233363</f>
        <v>17659530.8233363</v>
      </c>
      <c r="F26" s="34">
        <f>13378432.4419214</f>
        <v>13378432.4419214</v>
      </c>
    </row>
    <row r="27" spans="1:6" x14ac:dyDescent="0.3">
      <c r="A27" s="33" t="s">
        <v>274</v>
      </c>
      <c r="B27" s="35">
        <f>0.105750759457556</f>
        <v>0.10575075945755601</v>
      </c>
      <c r="C27" s="35">
        <f>0.0957863302427781</f>
        <v>9.5786330242778106E-2</v>
      </c>
      <c r="D27" s="35">
        <f>0.116738190289647</f>
        <v>0.11673819028964701</v>
      </c>
      <c r="E27" s="35">
        <f>0.105750759457556</f>
        <v>0.10575075945755601</v>
      </c>
      <c r="F27" s="35">
        <f>0.105750759457556</f>
        <v>0.10575075945755601</v>
      </c>
    </row>
    <row r="28" spans="1:6" ht="28.8" customHeight="1" x14ac:dyDescent="0.3">
      <c r="A28" s="39" t="s">
        <v>102</v>
      </c>
      <c r="B28" s="40" t="s">
        <v>275</v>
      </c>
      <c r="C28" s="40"/>
      <c r="D28" s="40"/>
      <c r="E28" s="40"/>
      <c r="F28" s="40"/>
    </row>
    <row r="29" spans="1:6" ht="28.8" customHeight="1" x14ac:dyDescent="0.3">
      <c r="A29" s="37"/>
      <c r="B29" s="37"/>
      <c r="C29" s="37"/>
      <c r="D29" s="37"/>
      <c r="E29" s="37"/>
      <c r="F29" s="37"/>
    </row>
    <row r="32" spans="1:6" ht="18" x14ac:dyDescent="0.35">
      <c r="A32" s="41" t="s">
        <v>276</v>
      </c>
    </row>
    <row r="34" spans="1:5" x14ac:dyDescent="0.3">
      <c r="A34" s="42" t="s">
        <v>277</v>
      </c>
      <c r="B34" s="42" t="s">
        <v>87</v>
      </c>
      <c r="C34" s="42" t="s">
        <v>278</v>
      </c>
      <c r="D34" s="42" t="s">
        <v>279</v>
      </c>
      <c r="E34" s="42" t="s">
        <v>280</v>
      </c>
    </row>
    <row r="35" spans="1:5" x14ac:dyDescent="0.3">
      <c r="A35" s="43" t="s">
        <v>281</v>
      </c>
      <c r="B35" s="43" t="s">
        <v>282</v>
      </c>
      <c r="C35" s="43" t="s">
        <v>283</v>
      </c>
      <c r="D35" s="43" t="s">
        <v>284</v>
      </c>
      <c r="E35" s="43" t="s">
        <v>285</v>
      </c>
    </row>
    <row r="36" spans="1:5" x14ac:dyDescent="0.3">
      <c r="A36" s="43" t="s">
        <v>268</v>
      </c>
      <c r="B36" s="43" t="s">
        <v>286</v>
      </c>
      <c r="C36" s="43" t="s">
        <v>287</v>
      </c>
      <c r="D36" s="43" t="s">
        <v>284</v>
      </c>
      <c r="E36" s="43" t="s">
        <v>288</v>
      </c>
    </row>
    <row r="37" spans="1:5" x14ac:dyDescent="0.3">
      <c r="A37" s="43" t="s">
        <v>289</v>
      </c>
      <c r="B37" s="43" t="s">
        <v>290</v>
      </c>
      <c r="C37" s="43" t="s">
        <v>291</v>
      </c>
      <c r="D37" s="43" t="s">
        <v>284</v>
      </c>
      <c r="E37" s="43" t="s">
        <v>292</v>
      </c>
    </row>
    <row r="38" spans="1:5" x14ac:dyDescent="0.3">
      <c r="A38" s="43" t="s">
        <v>293</v>
      </c>
      <c r="B38" s="43" t="s">
        <v>294</v>
      </c>
      <c r="C38" s="43" t="s">
        <v>295</v>
      </c>
      <c r="D38" s="43" t="s">
        <v>284</v>
      </c>
      <c r="E38" s="43" t="s">
        <v>296</v>
      </c>
    </row>
    <row r="39" spans="1:5" x14ac:dyDescent="0.3">
      <c r="A39" s="43" t="s">
        <v>297</v>
      </c>
      <c r="B39" s="43" t="s">
        <v>298</v>
      </c>
      <c r="C39" s="43" t="s">
        <v>299</v>
      </c>
      <c r="D39" s="43" t="s">
        <v>300</v>
      </c>
      <c r="E39" s="43" t="s">
        <v>301</v>
      </c>
    </row>
    <row r="40" spans="1:5" x14ac:dyDescent="0.3">
      <c r="A40" s="43" t="s">
        <v>302</v>
      </c>
      <c r="B40" s="43" t="s">
        <v>303</v>
      </c>
      <c r="C40" s="43" t="s">
        <v>304</v>
      </c>
      <c r="D40" s="43" t="s">
        <v>305</v>
      </c>
      <c r="E40" s="43" t="s">
        <v>306</v>
      </c>
    </row>
    <row r="42" spans="1:5" x14ac:dyDescent="0.3">
      <c r="A42" s="44" t="s">
        <v>30</v>
      </c>
      <c r="B42" s="44"/>
    </row>
    <row r="43" spans="1:5" x14ac:dyDescent="0.3">
      <c r="A43" t="s">
        <v>31</v>
      </c>
      <c r="B43" s="46">
        <f>'Returns Summary'!B39</f>
        <v>89.005235602094245</v>
      </c>
    </row>
    <row r="44" spans="1:5" x14ac:dyDescent="0.3">
      <c r="A44" t="s">
        <v>32</v>
      </c>
      <c r="B44" s="46">
        <f>'Returns Summary'!B40</f>
        <v>8415.8415841584156</v>
      </c>
    </row>
    <row r="45" spans="1:5" x14ac:dyDescent="0.3">
      <c r="A45" t="s">
        <v>34</v>
      </c>
      <c r="B45" s="35">
        <f>'Returns Summary'!B41</f>
        <v>0.12378674244871517</v>
      </c>
    </row>
    <row r="46" spans="1:5" x14ac:dyDescent="0.3">
      <c r="A46" t="s">
        <v>33</v>
      </c>
      <c r="B46" s="35">
        <f>'Returns Summary'!B42</f>
        <v>0.28020702174893397</v>
      </c>
    </row>
    <row r="47" spans="1:5" x14ac:dyDescent="0.3">
      <c r="A47" t="s">
        <v>28</v>
      </c>
      <c r="B47" s="35">
        <f>'Returns Summary'!B35</f>
        <v>0.25818533169278474</v>
      </c>
    </row>
    <row r="48" spans="1:5" x14ac:dyDescent="0.3">
      <c r="A48" t="s">
        <v>29</v>
      </c>
      <c r="B48" s="35">
        <f>'Returns Summary'!B36</f>
        <v>7.2499999999999995E-2</v>
      </c>
    </row>
    <row r="49" spans="1:2" x14ac:dyDescent="0.3">
      <c r="A49" t="s">
        <v>35</v>
      </c>
      <c r="B49" t="str">
        <f>Inputs!B50</f>
        <v>Levered</v>
      </c>
    </row>
    <row r="50" spans="1:2" x14ac:dyDescent="0.3">
      <c r="A50" t="s">
        <v>36</v>
      </c>
      <c r="B50" t="str">
        <f>Inputs!B49</f>
        <v>No</v>
      </c>
    </row>
    <row r="51" spans="1:2" x14ac:dyDescent="0.3">
      <c r="A51" t="s">
        <v>307</v>
      </c>
      <c r="B51" t="s">
        <v>308</v>
      </c>
    </row>
  </sheetData>
  <mergeCells count="4">
    <mergeCell ref="A3:F3"/>
    <mergeCell ref="A22:F22"/>
    <mergeCell ref="A12:F1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Sources &amp; Notes</vt:lpstr>
      <vt:lpstr>Inputs</vt:lpstr>
      <vt:lpstr>Unit Mix &amp; Market Comps</vt:lpstr>
      <vt:lpstr>Monthly Lease-Up</vt:lpstr>
      <vt:lpstr>Revenue Forecast</vt:lpstr>
      <vt:lpstr>Operating Expenses</vt:lpstr>
      <vt:lpstr>Expansion CapEx</vt:lpstr>
      <vt:lpstr>Debt &amp; Refi</vt:lpstr>
      <vt:lpstr>Fees</vt:lpstr>
      <vt:lpstr>GP-LP Waterfall</vt:lpstr>
      <vt:lpstr>Returns Summary</vt:lpstr>
      <vt:lpstr>Sensitivity</vt:lpstr>
      <vt:lpstr>Unlevered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Ernst</cp:lastModifiedBy>
  <dcterms:modified xsi:type="dcterms:W3CDTF">2026-05-28T16:48:20Z</dcterms:modified>
</cp:coreProperties>
</file>