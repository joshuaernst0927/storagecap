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3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ources &amp; Notes" sheetId="3" state="visible" r:id="rId3"/>
    <sheet xmlns:r="http://schemas.openxmlformats.org/officeDocument/2006/relationships" name="Unit Mix &amp; Market Comps" sheetId="4" state="visible" r:id="rId4"/>
    <sheet xmlns:r="http://schemas.openxmlformats.org/officeDocument/2006/relationships" name="Monthly Lease-Up" sheetId="5" state="visible" r:id="rId5"/>
    <sheet xmlns:r="http://schemas.openxmlformats.org/officeDocument/2006/relationships" name="Revenue Forecast" sheetId="6" state="visible" r:id="rId6"/>
    <sheet xmlns:r="http://schemas.openxmlformats.org/officeDocument/2006/relationships" name="Operating Expenses" sheetId="7" state="visible" r:id="rId7"/>
    <sheet xmlns:r="http://schemas.openxmlformats.org/officeDocument/2006/relationships" name="Expansion CapEx" sheetId="8" state="visible" r:id="rId8"/>
    <sheet xmlns:r="http://schemas.openxmlformats.org/officeDocument/2006/relationships" name="Debt &amp; Refi" sheetId="9" state="visible" r:id="rId9"/>
    <sheet xmlns:r="http://schemas.openxmlformats.org/officeDocument/2006/relationships" name="Fees" sheetId="10" state="visible" r:id="rId10"/>
    <sheet xmlns:r="http://schemas.openxmlformats.org/officeDocument/2006/relationships" name="GP-LP Waterfall" sheetId="11" state="visible" r:id="rId11"/>
    <sheet xmlns:r="http://schemas.openxmlformats.org/officeDocument/2006/relationships" name="Returns Summary" sheetId="12" state="visible" r:id="rId12"/>
    <sheet xmlns:r="http://schemas.openxmlformats.org/officeDocument/2006/relationships" name="Sensitivity" sheetId="13" state="visible" r:id="rId13"/>
    <sheet xmlns:r="http://schemas.openxmlformats.org/officeDocument/2006/relationships" name="Unlevered Scenario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$#,##0;[Red]\(\$#,##0\);\-"/>
    <numFmt numFmtId="165" formatCode="0.0%"/>
    <numFmt numFmtId="166" formatCode="0.0\x"/>
    <numFmt numFmtId="167" formatCode="#,##0;[Red]\(#,##0\);\-"/>
    <numFmt numFmtId="168" formatCode="0.00\x"/>
    <numFmt numFmtId="169" formatCode="\$#,##0"/>
  </numFmts>
  <fonts count="10">
    <font>
      <name val="Calibri"/>
      <color theme="1"/>
      <sz val="11"/>
    </font>
    <font>
      <name val="Calibri"/>
      <b val="1"/>
      <color rgb="FFFFFFFF"/>
      <sz val="14"/>
    </font>
    <font>
      <name val="Calibri"/>
      <b val="1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8000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sz val="14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72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7" fontId="4" fillId="4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166" fontId="4" fillId="4" borderId="0" applyAlignment="1" pivotButton="0" quotePrefix="0" xfId="0">
      <alignment horizontal="right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4" fillId="4" borderId="0" applyAlignment="1" pivotButton="0" quotePrefix="0" xfId="0">
      <alignment horizontal="left"/>
    </xf>
    <xf numFmtId="1" fontId="6" fillId="0" borderId="1" applyAlignment="1" pivotButton="0" quotePrefix="0" xfId="0">
      <alignment horizontal="right"/>
    </xf>
    <xf numFmtId="10" fontId="4" fillId="4" borderId="0" applyAlignment="1" pivotButton="0" quotePrefix="0" xfId="0">
      <alignment horizontal="right"/>
    </xf>
    <xf numFmtId="0" fontId="3" fillId="5" borderId="0" pivotButton="0" quotePrefix="0" xfId="0"/>
    <xf numFmtId="0" fontId="7" fillId="6" borderId="0" pivotButton="0" quotePrefix="0" xfId="0"/>
    <xf numFmtId="0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0" fontId="7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169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164" fontId="5" fillId="0" borderId="0" applyAlignment="1" pivotButton="0" quotePrefix="0" xfId="0">
      <alignment horizontal="right" wrapText="1"/>
    </xf>
    <xf numFmtId="164" fontId="6" fillId="0" borderId="0" applyAlignment="1" pivotButton="0" quotePrefix="0" xfId="0">
      <alignment horizontal="right" wrapText="1"/>
    </xf>
    <xf numFmtId="168" fontId="0" fillId="0" borderId="0" applyAlignment="1" pivotButton="0" quotePrefix="0" xfId="0">
      <alignment wrapText="1"/>
    </xf>
    <xf numFmtId="169" fontId="0" fillId="0" borderId="0" applyAlignment="1" pivotButton="0" quotePrefix="0" xfId="0">
      <alignment wrapText="1"/>
    </xf>
    <xf numFmtId="0" fontId="3" fillId="3" borderId="2" applyAlignment="1" pivotButton="0" quotePrefix="0" xfId="0">
      <alignment horizontal="left"/>
    </xf>
    <xf numFmtId="0" fontId="0" fillId="0" borderId="2" pivotButton="0" quotePrefix="0" xfId="0"/>
    <xf numFmtId="0" fontId="1" fillId="2" borderId="2" applyAlignment="1" pivotButton="0" quotePrefix="0" xfId="0">
      <alignment horizontal="left"/>
    </xf>
    <xf numFmtId="165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3" fillId="7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5" borderId="2" pivotButton="0" quotePrefix="0" xfId="0"/>
    <xf numFmtId="0" fontId="3" fillId="2" borderId="0" applyAlignment="1" pivotButton="0" quotePrefix="0" xfId="0">
      <alignment wrapText="1"/>
    </xf>
    <xf numFmtId="0" fontId="1" fillId="2" borderId="2" applyAlignment="1" pivotButton="0" quotePrefix="0" xfId="0">
      <alignment horizontal="left" wrapText="1"/>
    </xf>
    <xf numFmtId="0" fontId="1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wrapText="1"/>
    </xf>
  </cellXfs>
  <cellStyles count="1">
    <cellStyle name="Normal" xfId="0" builtinId="0"/>
  </cellStyles>
  <dxfs count="1"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NOI Forecast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Forecast'!$A$4:$A$8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'Operating Expenses'!$B$17:$F$17</f>
              <numCache>
                <formatCode>\$#,##0;[Red]\(\$#,##0\);\-</formatCode>
                <ptCount val="5"/>
                <pt idx="0">
                  <v>526093.6554070394</v>
                </pt>
                <pt idx="1">
                  <v>733919.6141314303</v>
                </pt>
                <pt idx="2">
                  <v>928705.8411761204</v>
                </pt>
                <pt idx="3">
                  <v>1133439.536251371</v>
                </pt>
                <pt idx="4">
                  <v>1190879.842432969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lang="en-US"/>
                  <a:t>Year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lang="en-US"/>
                  <a:t>NOI</a:t>
                </a:r>
              </a:p>
            </rich>
          </tx>
          <overlay val="0"/>
        </title>
        <numFmt formatCode="\$#,##0;[Red]\(\$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Total Cash Flow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'Returns Summary'!$I$4</f>
              <strCache>
                <ptCount val="1"/>
                <pt idx="0">
                  <v>Total Cash Flow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'Returns Summary'!$A$5:$A$10</f>
              <numCache>
                <formatCode>General</formatCode>
                <ptCount val="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</numCache>
            </numRef>
          </cat>
          <val>
            <numRef>
              <f>'Returns Summary'!$I$5:$I$10</f>
              <numCache>
                <formatCode>\$#,##0;[Red]\(\$#,##0\);\-</formatCode>
                <ptCount val="6"/>
                <pt idx="0">
                  <v>-4612500</v>
                </pt>
                <pt idx="1">
                  <v>510129.0187427178</v>
                </pt>
                <pt idx="2">
                  <v>714635.7572904123</v>
                </pt>
                <pt idx="3">
                  <v>988875.814363706</v>
                </pt>
                <pt idx="4">
                  <v>1287923.955532958</v>
                </pt>
                <pt idx="5">
                  <v>17441695.59135149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numFmt formatCode="\$#,##0;[Red]\(\$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Physical Occupancy Curve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strRef>
              <f>'Monthly Lease-Up'!$E$3</f>
              <strCache>
                <ptCount val="1"/>
                <pt idx="0">
                  <v>Physical Occ.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Lease-Up'!$A$4:$A$63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'Monthly Lease-Up'!$E$4:$E$63</f>
              <numCache>
                <formatCode>0.0%</formatCode>
                <ptCount val="60"/>
                <pt idx="0">
                  <v>0.7180635659484816</v>
                </pt>
                <pt idx="1">
                  <v>0.7223316399925078</v>
                </pt>
                <pt idx="2">
                  <v>0.7280556864907533</v>
                </pt>
                <pt idx="3">
                  <v>0.735573109220116</v>
                </pt>
                <pt idx="4">
                  <v>0.7451785095081938</v>
                </pt>
                <pt idx="5">
                  <v>0.7570304444578443</v>
                </pt>
                <pt idx="6">
                  <v>0.7710397599715439</v>
                </pt>
                <pt idx="7">
                  <v>0.7867828072689553</v>
                </pt>
                <pt idx="8">
                  <v>0.8035</v>
                </pt>
                <pt idx="9">
                  <v>0.8202171927310447</v>
                </pt>
                <pt idx="10">
                  <v>0.835960240028456</v>
                </pt>
                <pt idx="11">
                  <v>0.8499695555421557</v>
                </pt>
                <pt idx="12">
                  <v>0.8618214904918062</v>
                </pt>
                <pt idx="13">
                  <v>0.8714268907798839</v>
                </pt>
                <pt idx="14">
                  <v>0.8789443135092467</v>
                </pt>
                <pt idx="15">
                  <v>0.8846683600074922</v>
                </pt>
                <pt idx="16">
                  <v>0.8889364340515183</v>
                </pt>
                <pt idx="17">
                  <v>0.8920693833073103</v>
                </pt>
                <pt idx="18">
                  <v>0.8943427394649882</v>
                </pt>
                <pt idx="19">
                  <v>0.8959785855078947</v>
                </pt>
                <pt idx="20">
                  <v>0.8971486118831984</v>
                </pt>
                <pt idx="21">
                  <v>0.8979818556972399</v>
                </pt>
                <pt idx="22">
                  <v>0.8985734325205537</v>
                </pt>
                <pt idx="23">
                  <v>0.8989925157411432</v>
                </pt>
                <pt idx="24">
                  <v>0.8992889416994089</v>
                </pt>
                <pt idx="25">
                  <v>0.8994983799218716</v>
                </pt>
                <pt idx="26">
                  <v>0.8996462427840989</v>
                </pt>
                <pt idx="27">
                  <v>0.8997505764931766</v>
                </pt>
                <pt idx="28">
                  <v>0.8998241671194807</v>
                </pt>
                <pt idx="29">
                  <v>0.8998760593177869</v>
                </pt>
                <pt idx="30">
                  <v>0.8999126439109146</v>
                </pt>
                <pt idx="31">
                  <v>0.8999384329751171</v>
                </pt>
                <pt idx="32">
                  <v>0.899956610363345</v>
                </pt>
                <pt idx="33">
                  <v>0.8999694218097132</v>
                </pt>
                <pt idx="34">
                  <v>0.8999784509052585</v>
                </pt>
                <pt idx="35">
                  <v>0.8999848141088738</v>
                </pt>
                <pt idx="36">
                  <v>0.8999892984347285</v>
                </pt>
                <pt idx="37">
                  <v>0.8999924586109245</v>
                </pt>
                <pt idx="38">
                  <v>0.8999946856116149</v>
                </pt>
                <pt idx="39">
                  <v>0.8999962549833479</v>
                </pt>
                <pt idx="40">
                  <v>0.8999973609162467</v>
                </pt>
                <pt idx="41">
                  <v>0.8999981402616015</v>
                </pt>
                <pt idx="42">
                  <v>0.8999986894607713</v>
                </pt>
                <pt idx="43">
                  <v>0.8999990764767625</v>
                </pt>
                <pt idx="44">
                  <v>0.8999993492032543</v>
                </pt>
                <pt idx="45">
                  <v>0.8999995413908278</v>
                </pt>
                <pt idx="46">
                  <v>0.8999996768233518</v>
                </pt>
                <pt idx="47">
                  <v>0.8999997722611526</v>
                </pt>
                <pt idx="48">
                  <v>0.8999998395150907</v>
                </pt>
                <pt idx="49">
                  <v>0.899999886908168</v>
                </pt>
                <pt idx="50">
                  <v>0.8999999203055192</v>
                </pt>
                <pt idx="51">
                  <v>0.8999999438402417</v>
                </pt>
                <pt idx="52">
                  <v>0.8999999604248838</v>
                </pt>
                <pt idx="53">
                  <v>0.8999999721118853</v>
                </pt>
                <pt idx="54">
                  <v>0.8999999803475769</v>
                </pt>
                <pt idx="55">
                  <v>0.899999986151171</v>
                </pt>
                <pt idx="56">
                  <v>0.8999999902408951</v>
                </pt>
                <pt idx="57">
                  <v>0.8999999931228748</v>
                </pt>
                <pt idx="58">
                  <v>0.8999999951537718</v>
                </pt>
                <pt idx="59">
                  <v>0.8999999965849207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lang="en-US"/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lang="en-US"/>
                  <a:t>Occupancy</a:t>
                </a:r>
              </a:p>
            </rich>
          </tx>
          <overlay val="0"/>
        </title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Annual EGI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'Revenue Forecast'!$F$3</f>
              <strCache>
                <ptCount val="1"/>
                <pt idx="0">
                  <v>Total EGI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'Revenue Forecast'!$A$4:$A$8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'Revenue Forecast'!$F$4:$F$8</f>
              <numCache>
                <formatCode>\$#,##0;[Red]\(\$#,##0\);\-</formatCode>
                <ptCount val="5"/>
                <pt idx="0">
                  <v>1064309.110954778</v>
                </pt>
                <pt idx="1">
                  <v>1285590.456067863</v>
                </pt>
                <pt idx="2">
                  <v>1494168.454160964</v>
                </pt>
                <pt idx="3">
                  <v>1713038.714560835</v>
                </pt>
                <pt idx="4">
                  <v>1784969.00020017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1"/>
        <axPos val="l"/>
        <numFmt formatCode="\$#,##0;[Red]\(\$#,##0\);\-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  <overlay val="0"/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Sample input; replace with deal-specific source</t>
      </text>
    </comment>
    <comment ref="B5" authorId="0" shapeId="0">
      <text>
        <t>Sample input; replace with deal-specific source</t>
      </text>
    </comment>
    <comment ref="B6" authorId="0" shapeId="0">
      <text>
        <t>Sample input; replace with deal-specific source</t>
      </text>
    </comment>
    <comment ref="B7" authorId="0" shapeId="0">
      <text>
        <t>Sample input; replace with deal-specific source</t>
      </text>
    </comment>
    <comment ref="B8" authorId="0" shapeId="0">
      <text>
        <t>Sample input; replace with deal-specific source</t>
      </text>
    </comment>
    <comment ref="B9" authorId="0" shapeId="0">
      <text>
        <t>Sample input; replace with deal-specific source</t>
      </text>
    </comment>
    <comment ref="B10" authorId="0" shapeId="0">
      <text>
        <t>Sample input; replace with deal-specific source</t>
      </text>
    </comment>
    <comment ref="B13" authorId="0" shapeId="0">
      <text>
        <t>Sample input; replace with deal-specific source</t>
      </text>
    </comment>
    <comment ref="B14" authorId="0" shapeId="0">
      <text>
        <t>Sample input; replace with deal-specific source</t>
      </text>
    </comment>
    <comment ref="B15" authorId="0" shapeId="0">
      <text>
        <t>Sample input; replace with deal-specific source</t>
      </text>
    </comment>
    <comment ref="B16" authorId="0" shapeId="0">
      <text>
        <t>Sample input; replace with deal-specific source</t>
      </text>
    </comment>
    <comment ref="B17" authorId="0" shapeId="0">
      <text>
        <t>Sample input; replace with deal-specific source</t>
      </text>
    </comment>
    <comment ref="B18" authorId="0" shapeId="0">
      <text>
        <t>Sample input; replace with deal-specific source</t>
      </text>
    </comment>
    <comment ref="B19" authorId="0" shapeId="0">
      <text>
        <t>Sample input; replace with deal-specific source</t>
      </text>
    </comment>
    <comment ref="B20" authorId="0" shapeId="0">
      <text>
        <t>Sample input; replace with deal-specific source</t>
      </text>
    </comment>
    <comment ref="B21" authorId="0" shapeId="0">
      <text>
        <t>Sample input; replace with deal-specific source</t>
      </text>
    </comment>
    <comment ref="B22" authorId="0" shapeId="0">
      <text>
        <t>Sample input; replace with deal-specific source</t>
      </text>
    </comment>
    <comment ref="B26" authorId="0" shapeId="0">
      <text>
        <t>Sample input; replace with deal-specific source</t>
      </text>
    </comment>
    <comment ref="B27" authorId="0" shapeId="0">
      <text>
        <t>Sample input; replace with deal-specific source</t>
      </text>
    </comment>
    <comment ref="B28" authorId="0" shapeId="0">
      <text>
        <t>Sample input; replace with deal-specific source</t>
      </text>
    </comment>
    <comment ref="B29" authorId="0" shapeId="0">
      <text>
        <t>Sample input; replace with deal-specific source</t>
      </text>
    </comment>
    <comment ref="B30" authorId="0" shapeId="0">
      <text>
        <t>Sample input; replace with deal-specific source</t>
      </text>
    </comment>
    <comment ref="B31" authorId="0" shapeId="0">
      <text>
        <t>Sample input; replace with deal-specific source</t>
      </text>
    </comment>
    <comment ref="B32" authorId="0" shapeId="0">
      <text>
        <t>Sample input; replace with deal-specific source</t>
      </text>
    </comment>
    <comment ref="B33" authorId="0" shapeId="0">
      <text>
        <t>Sample input; replace with deal-specific source</t>
      </text>
    </comment>
    <comment ref="B34" authorId="0" shapeId="0">
      <text>
        <t>Sample input; replace with deal-specific source</t>
      </text>
    </comment>
    <comment ref="B35" authorId="0" shapeId="0">
      <text>
        <t>Sample input; replace with deal-specific source</t>
      </text>
    </comment>
    <comment ref="B36" authorId="0" shapeId="0">
      <text>
        <t>Sample input; replace with deal-specific source</t>
      </text>
    </comment>
    <comment ref="B37" authorId="0" shapeId="0">
      <text>
        <t>Sample input; replace with deal-specific source</t>
      </text>
    </comment>
    <comment ref="B41" authorId="0" shapeId="0">
      <text>
        <t>Sample input; replace with deal-specific source</t>
      </text>
    </comment>
    <comment ref="B42" authorId="0" shapeId="0">
      <text>
        <t>Sample input; replace with deal-specific source</t>
      </text>
    </comment>
    <comment ref="B43" authorId="0" shapeId="0">
      <text>
        <t>Sample input; replace with deal-specific source</t>
      </text>
    </comment>
    <comment ref="B44" authorId="0" shapeId="0">
      <text>
        <t>Sample input; replace with deal-specific source</t>
      </text>
    </comment>
    <comment ref="B45" authorId="0" shapeId="0">
      <text>
        <t>Sample input; replace with deal-specific source</t>
      </text>
    </comment>
    <comment ref="B46" authorId="0" shapeId="0">
      <text>
        <t>Sample input; replace with deal-specific source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tabSelected="1" workbookViewId="0">
      <selection activeCell="B53" sqref="B53"/>
    </sheetView>
  </sheetViews>
  <sheetFormatPr baseColWidth="8" defaultRowHeight="14.4"/>
  <cols>
    <col width="34" customWidth="1" min="1" max="1"/>
    <col width="22" customWidth="1" min="2" max="2"/>
    <col width="15" customWidth="1" min="3" max="29"/>
  </cols>
  <sheetData>
    <row r="1" ht="18" customHeight="1">
      <c r="A1" s="58" t="inlineStr">
        <is>
          <t>Global Inputs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</row>
    <row r="3" ht="18" customHeight="1">
      <c r="A3" s="56" t="inlineStr">
        <is>
          <t>Acquisition / Fees</t>
        </is>
      </c>
    </row>
    <row r="4" ht="18" customHeight="1">
      <c r="A4" s="2" t="inlineStr">
        <is>
          <t>Purchase Price</t>
        </is>
      </c>
      <c r="B4" s="9" t="n">
        <v>4250000</v>
      </c>
      <c r="C4" s="1" t="n"/>
      <c r="D4" s="1" t="n"/>
      <c r="E4" s="1" t="n"/>
      <c r="F4" s="1" t="n"/>
      <c r="G4" s="1" t="n"/>
      <c r="H4" s="1" t="n"/>
    </row>
    <row r="5" ht="18" customHeight="1">
      <c r="A5" s="2" t="inlineStr">
        <is>
          <t>Closing Costs %</t>
        </is>
      </c>
      <c r="B5" s="10" t="n">
        <v>0.03</v>
      </c>
      <c r="C5" s="1" t="n"/>
      <c r="D5" s="1" t="n"/>
      <c r="E5" s="1" t="n"/>
      <c r="F5" s="1" t="n"/>
      <c r="G5" s="1" t="n"/>
      <c r="H5" s="1" t="n"/>
    </row>
    <row r="6" ht="18" customHeight="1">
      <c r="A6" s="2" t="inlineStr">
        <is>
          <t>Initial Repairs / Deferred CapEx</t>
        </is>
      </c>
      <c r="B6" s="9" t="n">
        <v>150000</v>
      </c>
      <c r="C6" s="1" t="n"/>
      <c r="D6" s="1" t="n"/>
      <c r="E6" s="1" t="n"/>
      <c r="F6" s="1" t="n"/>
      <c r="G6" s="1" t="n"/>
      <c r="H6" s="1" t="n"/>
    </row>
    <row r="7" ht="18" customHeight="1">
      <c r="A7" s="2" t="inlineStr">
        <is>
          <t>Acquisition Fee %</t>
        </is>
      </c>
      <c r="B7" s="10" t="n">
        <v>0.02</v>
      </c>
      <c r="C7" s="1" t="n"/>
      <c r="D7" s="1" t="n"/>
      <c r="E7" s="1" t="n"/>
      <c r="F7" s="1" t="n"/>
      <c r="G7" s="1" t="n"/>
      <c r="H7" s="1" t="n"/>
    </row>
    <row r="8" ht="18" customHeight="1">
      <c r="A8" s="2" t="inlineStr">
        <is>
          <t>Asset Management Fee % of EGI</t>
        </is>
      </c>
      <c r="B8" s="10" t="n">
        <v>0.015</v>
      </c>
      <c r="C8" s="1" t="n"/>
      <c r="D8" s="1" t="n"/>
      <c r="E8" s="1" t="n"/>
      <c r="F8" s="1" t="n"/>
      <c r="G8" s="1" t="n"/>
      <c r="H8" s="1" t="n"/>
    </row>
    <row r="9" ht="18" customHeight="1">
      <c r="A9" s="2" t="inlineStr">
        <is>
          <t>Disposition Fee %</t>
        </is>
      </c>
      <c r="B9" s="10" t="n">
        <v>0.01</v>
      </c>
      <c r="C9" s="1" t="n"/>
      <c r="D9" s="1" t="n"/>
      <c r="E9" s="1" t="n"/>
      <c r="F9" s="1" t="n"/>
      <c r="G9" s="1" t="n"/>
      <c r="H9" s="1" t="n"/>
    </row>
    <row r="10" ht="18" customHeight="1">
      <c r="A10" s="2" t="inlineStr">
        <is>
          <t>Sponsor Co-Invest % of Equity</t>
        </is>
      </c>
      <c r="B10" s="10" t="n">
        <v>0</v>
      </c>
      <c r="C10" s="1" t="n"/>
      <c r="D10" s="1" t="n"/>
      <c r="E10" s="1" t="n"/>
      <c r="F10" s="1" t="n"/>
      <c r="G10" s="1" t="n"/>
      <c r="H10" s="1" t="n"/>
    </row>
    <row r="11" ht="18" customHeight="1">
      <c r="A11" s="2" t="n"/>
      <c r="B11" s="1" t="n"/>
      <c r="C11" s="1" t="n"/>
      <c r="D11" s="1" t="n"/>
      <c r="E11" s="1" t="n"/>
      <c r="F11" s="1" t="n"/>
      <c r="G11" s="1" t="n"/>
      <c r="H11" s="1" t="n"/>
    </row>
    <row r="12" ht="18" customHeight="1">
      <c r="A12" s="56" t="inlineStr">
        <is>
          <t>Operations</t>
        </is>
      </c>
    </row>
    <row r="13" ht="18" customHeight="1">
      <c r="A13" s="2" t="inlineStr">
        <is>
          <t>Start Physical Occupancy</t>
        </is>
      </c>
      <c r="B13" s="10" t="n">
        <v>0.707</v>
      </c>
      <c r="C13" s="1" t="n"/>
      <c r="D13" s="1" t="n"/>
      <c r="E13" s="1" t="n"/>
      <c r="F13" s="1" t="n"/>
      <c r="G13" s="1" t="n"/>
      <c r="H13" s="1" t="n"/>
    </row>
    <row r="14" ht="18" customHeight="1">
      <c r="A14" s="2" t="inlineStr">
        <is>
          <t>Stabilized Physical Occupancy</t>
        </is>
      </c>
      <c r="B14" s="10" t="n">
        <v>0.9</v>
      </c>
      <c r="C14" s="1" t="n"/>
      <c r="D14" s="1" t="n"/>
      <c r="E14" s="1" t="n"/>
      <c r="F14" s="1" t="n"/>
      <c r="G14" s="1" t="n"/>
      <c r="H14" s="1" t="n"/>
    </row>
    <row r="15" ht="18" customHeight="1">
      <c r="A15" s="2" t="inlineStr">
        <is>
          <t>Months to Stabilization</t>
        </is>
      </c>
      <c r="B15" s="11" t="n">
        <v>18</v>
      </c>
      <c r="C15" s="1" t="n"/>
      <c r="D15" s="1" t="n"/>
      <c r="E15" s="1" t="n"/>
      <c r="F15" s="1" t="n"/>
      <c r="G15" s="1" t="n"/>
      <c r="H15" s="1" t="n"/>
    </row>
    <row r="16" ht="18" customHeight="1">
      <c r="A16" s="2" t="inlineStr">
        <is>
          <t>Occupancy Curve Type</t>
        </is>
      </c>
      <c r="B16" s="12" t="inlineStr">
        <is>
          <t>Logistic</t>
        </is>
      </c>
      <c r="C16" s="1" t="n"/>
      <c r="D16" s="1" t="n"/>
      <c r="E16" s="1" t="n"/>
      <c r="F16" s="1" t="n"/>
      <c r="G16" s="1" t="n"/>
      <c r="H16" s="1" t="n"/>
    </row>
    <row r="17" ht="18" customHeight="1">
      <c r="A17" s="2" t="inlineStr">
        <is>
          <t>Economic Occupancy Discount</t>
        </is>
      </c>
      <c r="B17" s="10" t="n">
        <v>0.03</v>
      </c>
      <c r="C17" s="1" t="n"/>
      <c r="D17" s="1" t="n"/>
      <c r="E17" s="1" t="n"/>
      <c r="F17" s="1" t="n"/>
      <c r="G17" s="1" t="n"/>
      <c r="H17" s="1" t="n"/>
    </row>
    <row r="18" ht="18" customHeight="1">
      <c r="A18" s="2" t="inlineStr">
        <is>
          <t>Annual Street Rent Growth</t>
        </is>
      </c>
      <c r="B18" s="10" t="n">
        <v>0.05</v>
      </c>
      <c r="C18" s="1" t="n"/>
      <c r="D18" s="1" t="n"/>
      <c r="E18" s="1" t="n"/>
      <c r="F18" s="1" t="n"/>
      <c r="G18" s="1" t="n"/>
      <c r="H18" s="1" t="n"/>
    </row>
    <row r="19" ht="18" customHeight="1">
      <c r="A19" s="2" t="inlineStr">
        <is>
          <t>Admin / Fees % of Rental Revenue</t>
        </is>
      </c>
      <c r="B19" s="10" t="n">
        <v>0.04</v>
      </c>
      <c r="C19" s="1" t="n"/>
      <c r="D19" s="1" t="n"/>
      <c r="E19" s="1" t="n"/>
      <c r="F19" s="1" t="n"/>
      <c r="G19" s="1" t="n"/>
      <c r="H19" s="1" t="n"/>
    </row>
    <row r="20" ht="18" customHeight="1">
      <c r="A20" s="2" t="inlineStr">
        <is>
          <t>Tenant Insurance Income %</t>
        </is>
      </c>
      <c r="B20" s="10" t="n">
        <v>0.05</v>
      </c>
      <c r="C20" s="1" t="n"/>
      <c r="D20" s="1" t="n"/>
      <c r="E20" s="1" t="n"/>
      <c r="F20" s="1" t="n"/>
      <c r="G20" s="1" t="n"/>
      <c r="H20" s="1" t="n"/>
    </row>
    <row r="21" ht="18" customHeight="1">
      <c r="A21" s="2" t="inlineStr">
        <is>
          <t>Other Income / Month</t>
        </is>
      </c>
      <c r="B21" s="9" t="n">
        <v>2500</v>
      </c>
      <c r="C21" s="1" t="n"/>
      <c r="D21" s="1" t="n"/>
      <c r="E21" s="1" t="n"/>
      <c r="F21" s="1" t="n"/>
      <c r="G21" s="1" t="n"/>
      <c r="H21" s="1" t="n"/>
    </row>
    <row r="22" ht="18" customHeight="1">
      <c r="A22" s="2" t="inlineStr">
        <is>
          <t>OpEx Growth</t>
        </is>
      </c>
      <c r="B22" s="10" t="n">
        <v>0.025</v>
      </c>
      <c r="C22" s="1" t="n"/>
      <c r="D22" s="1" t="n"/>
      <c r="E22" s="1" t="n"/>
      <c r="F22" s="1" t="n"/>
      <c r="G22" s="1" t="n"/>
      <c r="H22" s="1" t="n"/>
    </row>
    <row r="23" ht="18" customHeight="1">
      <c r="A23" s="2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2" t="n"/>
      <c r="B24" s="1" t="n"/>
      <c r="C24" s="1" t="n"/>
      <c r="D24" s="1" t="n"/>
      <c r="E24" s="1" t="n"/>
      <c r="F24" s="1" t="n"/>
      <c r="G24" s="1" t="n"/>
      <c r="H24" s="1" t="n"/>
    </row>
    <row r="25" ht="18" customHeight="1">
      <c r="A25" s="56" t="inlineStr">
        <is>
          <t>Debt / Refi / Exit</t>
        </is>
      </c>
    </row>
    <row r="26" ht="18" customHeight="1">
      <c r="A26" s="2" t="inlineStr">
        <is>
          <t>Initial LTV</t>
        </is>
      </c>
      <c r="B26" s="10" t="n">
        <v>0.45</v>
      </c>
      <c r="C26" s="1" t="n"/>
      <c r="D26" s="1" t="n"/>
      <c r="E26" s="1" t="n"/>
      <c r="F26" s="1" t="n"/>
      <c r="G26" s="1" t="n"/>
      <c r="H26" s="1" t="n"/>
    </row>
    <row r="27" ht="18" customHeight="1">
      <c r="A27" s="2" t="inlineStr">
        <is>
          <t>Initial Interest Rate</t>
        </is>
      </c>
      <c r="B27" s="10" t="n">
        <v>0.08500000000000001</v>
      </c>
      <c r="C27" s="1" t="n"/>
      <c r="D27" s="1" t="n"/>
      <c r="E27" s="1" t="n"/>
      <c r="F27" s="1" t="n"/>
      <c r="G27" s="1" t="n"/>
      <c r="H27" s="1" t="n"/>
    </row>
    <row r="28" ht="18" customHeight="1">
      <c r="A28" s="2" t="inlineStr">
        <is>
          <t>Initial Amortization Years</t>
        </is>
      </c>
      <c r="B28" s="11" t="n">
        <v>30</v>
      </c>
      <c r="C28" s="1" t="n"/>
      <c r="D28" s="1" t="n"/>
      <c r="E28" s="1" t="n"/>
      <c r="F28" s="1" t="n"/>
      <c r="G28" s="1" t="n"/>
      <c r="H28" s="1" t="n"/>
    </row>
    <row r="29" ht="18" customHeight="1">
      <c r="A29" s="2" t="inlineStr">
        <is>
          <t>IO Period Months</t>
        </is>
      </c>
      <c r="B29" s="11" t="n">
        <v>24</v>
      </c>
      <c r="C29" s="1" t="n"/>
      <c r="D29" s="1" t="n"/>
      <c r="E29" s="1" t="n"/>
      <c r="F29" s="1" t="n"/>
      <c r="G29" s="1" t="n"/>
      <c r="H29" s="1" t="n"/>
    </row>
    <row r="30" ht="18" customHeight="1">
      <c r="A30" s="2" t="inlineStr">
        <is>
          <t>Minimum DSCR</t>
        </is>
      </c>
      <c r="B30" s="13" t="n">
        <v>1.25</v>
      </c>
      <c r="C30" s="1" t="n"/>
      <c r="D30" s="1" t="n"/>
      <c r="E30" s="1" t="n"/>
      <c r="F30" s="1" t="n"/>
      <c r="G30" s="1" t="n"/>
      <c r="H30" s="1" t="n"/>
    </row>
    <row r="31" ht="18" customHeight="1">
      <c r="A31" s="2" t="inlineStr">
        <is>
          <t>Refi Month</t>
        </is>
      </c>
      <c r="B31" s="11" t="n">
        <v>24</v>
      </c>
      <c r="C31" s="1" t="n"/>
      <c r="D31" s="1" t="n"/>
      <c r="E31" s="1" t="n"/>
      <c r="F31" s="1" t="n"/>
      <c r="G31" s="1" t="n"/>
      <c r="H31" s="1" t="n"/>
    </row>
    <row r="32" ht="18" customHeight="1">
      <c r="A32" s="2" t="inlineStr">
        <is>
          <t>Refi LTV</t>
        </is>
      </c>
      <c r="B32" s="10" t="n">
        <v>0.65</v>
      </c>
      <c r="C32" s="1" t="n"/>
      <c r="D32" s="1" t="n"/>
      <c r="E32" s="1" t="n"/>
      <c r="F32" s="1" t="n"/>
      <c r="G32" s="1" t="n"/>
      <c r="H32" s="1" t="n"/>
    </row>
    <row r="33" ht="18" customHeight="1">
      <c r="A33" s="2" t="inlineStr">
        <is>
          <t>Refi Interest Rate</t>
        </is>
      </c>
      <c r="B33" s="30" t="n">
        <v>0.0525</v>
      </c>
      <c r="C33" s="1" t="n"/>
      <c r="D33" s="1" t="n"/>
      <c r="E33" s="1" t="n"/>
      <c r="F33" s="1" t="n"/>
      <c r="G33" s="1" t="n"/>
      <c r="H33" s="1" t="n"/>
    </row>
    <row r="34" ht="18" customHeight="1">
      <c r="A34" s="2" t="inlineStr">
        <is>
          <t>Refi Amortization Years</t>
        </is>
      </c>
      <c r="B34" s="11" t="n">
        <v>30</v>
      </c>
      <c r="C34" s="1" t="n"/>
      <c r="D34" s="1" t="n"/>
      <c r="E34" s="1" t="n"/>
      <c r="F34" s="1" t="n"/>
      <c r="G34" s="1" t="n"/>
      <c r="H34" s="1" t="n"/>
    </row>
    <row r="35" ht="18" customHeight="1">
      <c r="A35" s="2" t="inlineStr">
        <is>
          <t>Exit Cap Rate</t>
        </is>
      </c>
      <c r="B35" s="10" t="n">
        <v>0.0725</v>
      </c>
      <c r="C35" s="1" t="n"/>
      <c r="D35" s="1" t="n"/>
      <c r="E35" s="1" t="n"/>
      <c r="F35" s="1" t="n"/>
      <c r="G35" s="1" t="n"/>
      <c r="H35" s="1" t="n"/>
    </row>
    <row r="36" ht="18" customHeight="1">
      <c r="A36" s="2" t="inlineStr">
        <is>
          <t>Exit Month</t>
        </is>
      </c>
      <c r="B36" s="11" t="n">
        <v>60</v>
      </c>
      <c r="C36" s="1" t="n"/>
      <c r="D36" s="1" t="n"/>
      <c r="E36" s="1" t="n"/>
      <c r="F36" s="1" t="n"/>
      <c r="G36" s="1" t="n"/>
      <c r="H36" s="1" t="n"/>
    </row>
    <row r="37" ht="18" customHeight="1">
      <c r="A37" s="2" t="inlineStr">
        <is>
          <t>Selling Costs %</t>
        </is>
      </c>
      <c r="B37" s="10" t="n">
        <v>0.02</v>
      </c>
      <c r="C37" s="1" t="n"/>
      <c r="D37" s="1" t="n"/>
      <c r="E37" s="1" t="n"/>
      <c r="F37" s="1" t="n"/>
      <c r="G37" s="1" t="n"/>
      <c r="H37" s="1" t="n"/>
    </row>
    <row r="38" ht="18" customHeight="1">
      <c r="A38" s="2" t="n"/>
      <c r="B38" s="1" t="n"/>
      <c r="C38" s="1" t="n"/>
      <c r="D38" s="1" t="n"/>
      <c r="E38" s="1" t="n"/>
      <c r="F38" s="1" t="n"/>
      <c r="G38" s="1" t="n"/>
      <c r="H38" s="1" t="n"/>
    </row>
    <row r="39" ht="18" customHeight="1">
      <c r="A39" s="2" t="n"/>
      <c r="B39" s="1" t="n"/>
      <c r="C39" s="1" t="n"/>
      <c r="D39" s="1" t="n"/>
      <c r="E39" s="1" t="n"/>
      <c r="F39" s="1" t="n"/>
      <c r="G39" s="1" t="n"/>
      <c r="H39" s="1" t="n"/>
    </row>
    <row r="40" ht="18" customHeight="1">
      <c r="A40" s="56" t="inlineStr">
        <is>
          <t>Preferred Return</t>
        </is>
      </c>
    </row>
    <row r="41" ht="18" customHeight="1">
      <c r="A41" s="2" t="inlineStr">
        <is>
          <t>Return of Capital - LP</t>
        </is>
      </c>
      <c r="B41" s="10" t="n">
        <v>1</v>
      </c>
      <c r="C41" s="1" t="n"/>
      <c r="D41" s="1" t="n"/>
      <c r="E41" s="1" t="n"/>
      <c r="F41" s="1" t="n"/>
      <c r="G41" s="1" t="n"/>
      <c r="H41" s="1" t="n"/>
    </row>
    <row r="42" ht="18" customHeight="1">
      <c r="A42" s="2" t="inlineStr">
        <is>
          <t>Catch-Up Split - LP</t>
        </is>
      </c>
      <c r="B42" s="10" t="n">
        <v>0.8</v>
      </c>
      <c r="C42" s="1" t="n"/>
      <c r="D42" s="1" t="n"/>
      <c r="E42" s="1" t="n"/>
      <c r="F42" s="1" t="n"/>
      <c r="G42" s="1" t="n"/>
      <c r="H42" s="1" t="n"/>
    </row>
    <row r="43" ht="18" customHeight="1">
      <c r="A43" s="2" t="inlineStr">
        <is>
          <t>Catch-Up Split - GP</t>
        </is>
      </c>
      <c r="B43" s="10" t="n">
        <v>0.2</v>
      </c>
      <c r="C43" s="1" t="n"/>
      <c r="D43" s="1" t="n"/>
      <c r="E43" s="1" t="n"/>
      <c r="F43" s="1" t="n"/>
      <c r="G43" s="1" t="n"/>
      <c r="H43" s="1" t="n"/>
    </row>
    <row r="44" ht="18" customHeight="1">
      <c r="A44" s="2" t="inlineStr">
        <is>
          <t>Residual Hurdle / Reference</t>
        </is>
      </c>
      <c r="B44" s="10" t="n">
        <v>0.08</v>
      </c>
      <c r="C44" s="1" t="n"/>
      <c r="D44" s="1" t="n"/>
      <c r="E44" s="1" t="n"/>
      <c r="F44" s="1" t="n"/>
      <c r="G44" s="1" t="n"/>
      <c r="H44" s="1" t="n"/>
    </row>
    <row r="45" ht="18" customHeight="1">
      <c r="A45" s="2" t="inlineStr">
        <is>
          <t>Residual Split - LP</t>
        </is>
      </c>
      <c r="B45" s="10" t="n">
        <v>0.8</v>
      </c>
      <c r="C45" s="1" t="n"/>
      <c r="D45" s="1" t="n"/>
      <c r="E45" s="1" t="n"/>
      <c r="F45" s="1" t="n"/>
      <c r="G45" s="1" t="n"/>
      <c r="H45" s="1" t="n"/>
    </row>
    <row r="46" ht="18" customHeight="1">
      <c r="A46" s="2" t="inlineStr">
        <is>
          <t>Residual Split - GP</t>
        </is>
      </c>
      <c r="B46" s="10" t="n">
        <v>0.2</v>
      </c>
      <c r="C46" s="1" t="n"/>
      <c r="D46" s="1" t="n"/>
      <c r="E46" s="1" t="n"/>
      <c r="F46" s="1" t="n"/>
      <c r="G46" s="1" t="n"/>
      <c r="H46" s="1" t="n"/>
    </row>
    <row r="47" ht="18" customHeight="1"/>
    <row r="48" ht="18" customHeight="1">
      <c r="A48" s="63" t="inlineStr">
        <is>
          <t>Debt Toggle / Structure</t>
        </is>
      </c>
      <c r="B48" s="63" t="n"/>
    </row>
    <row r="49" ht="18" customHeight="1">
      <c r="A49" s="39" t="inlineStr">
        <is>
          <t>Unlevered? (Yes/No)</t>
        </is>
      </c>
      <c r="B49" s="45" t="inlineStr">
        <is>
          <t>No</t>
        </is>
      </c>
    </row>
    <row r="50" ht="18" customHeight="1">
      <c r="A50" s="39" t="inlineStr">
        <is>
          <t>Active Capital Structure</t>
        </is>
      </c>
      <c r="B50" s="45">
        <f>IF($B$49="Yes","Unlevered","Levered")</f>
        <v/>
      </c>
    </row>
    <row r="51" ht="18" customHeight="1">
      <c r="A51" s="39" t="inlineStr">
        <is>
          <t>LP Contributes 100% Equity?</t>
        </is>
      </c>
      <c r="B51" s="45" t="inlineStr">
        <is>
          <t>Yes</t>
        </is>
      </c>
    </row>
    <row r="52" ht="18" customHeight="1">
      <c r="A52" s="39" t="inlineStr">
        <is>
          <t>Notes</t>
        </is>
      </c>
      <c r="B52" t="inlineStr">
        <is>
          <t>Set Unlevered? to No to activate LTV-based debt sizing and debt service.</t>
        </is>
      </c>
    </row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5">
    <mergeCell ref="A12:H12"/>
    <mergeCell ref="A3:H3"/>
    <mergeCell ref="A25:H25"/>
    <mergeCell ref="A1:H1"/>
    <mergeCell ref="A40:H40"/>
  </mergeCells>
  <dataValidations count="2">
    <dataValidation sqref="B16" showDropDown="0" showInputMessage="0" showErrorMessage="0" allowBlank="0" type="list">
      <formula1>"Linear,Logistic,S-Curve"</formula1>
    </dataValidation>
    <dataValidation sqref="B49 B51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zoomScaleNormal="100" workbookViewId="0">
      <selection activeCell="B4" sqref="B4"/>
    </sheetView>
  </sheetViews>
  <sheetFormatPr baseColWidth="8" defaultRowHeight="14.4"/>
  <cols>
    <col width="34" customWidth="1" min="1" max="1"/>
    <col width="15" customWidth="1" min="2" max="29"/>
  </cols>
  <sheetData>
    <row r="1" ht="18" customHeight="1">
      <c r="A1" s="68" t="inlineStr">
        <is>
          <t>Institutional Self-Storage Acquisition Dashboard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56" t="inlineStr">
        <is>
          <t>Key Investment Metrics</t>
        </is>
      </c>
    </row>
    <row r="4" ht="18" customHeight="1">
      <c r="A4" s="3" t="inlineStr">
        <is>
          <t>Purchase Price</t>
        </is>
      </c>
      <c r="B4" s="4">
        <f>Inputs!B4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8" customHeight="1">
      <c r="A5" s="3" t="inlineStr">
        <is>
          <t>Total Project Cost</t>
        </is>
      </c>
      <c r="B5" s="4">
        <f>'Debt &amp; Refi'!B4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8" customHeight="1">
      <c r="A6" s="3" t="inlineStr">
        <is>
          <t>Equity Required</t>
        </is>
      </c>
      <c r="B6" s="4">
        <f>'Debt &amp; Refi'!B6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18" customHeight="1">
      <c r="A7" s="3" t="inlineStr">
        <is>
          <t>Year 1 NOI</t>
        </is>
      </c>
      <c r="B7" s="4">
        <f>'Operating Expenses'!B17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18" customHeight="1">
      <c r="A8" s="3" t="inlineStr">
        <is>
          <t>Year 5 NOI</t>
        </is>
      </c>
      <c r="B8" s="4">
        <f>'Operating Expenses'!F17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18" customHeight="1">
      <c r="A9" s="3" t="inlineStr">
        <is>
          <t>Levered IRR</t>
        </is>
      </c>
      <c r="B9" s="5">
        <f>'Returns Summary'!B16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18" customHeight="1">
      <c r="A10" s="3" t="inlineStr">
        <is>
          <t>Equity Multiple</t>
        </is>
      </c>
      <c r="B10" s="6">
        <f>'Returns Summary'!B17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8" customHeight="1">
      <c r="A11" s="3" t="inlineStr">
        <is>
          <t>Avg Cash-on-Cash</t>
        </is>
      </c>
      <c r="B11" s="5">
        <f>'Returns Summary'!B18</f>
        <v/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18" customHeight="1">
      <c r="A12" s="3" t="inlineStr">
        <is>
          <t>Year 1 DSCR</t>
        </is>
      </c>
      <c r="B12" s="5">
        <f>'Returns Summary'!B19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8" customHeight="1">
      <c r="A13" s="3" t="inlineStr">
        <is>
          <t>Year 1 Debt Yield</t>
        </is>
      </c>
      <c r="B13" s="5">
        <f>'Returns Summary'!B20</f>
        <v/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18" customHeight="1">
      <c r="A14" s="3" t="inlineStr">
        <is>
          <t>Exit Value</t>
        </is>
      </c>
      <c r="B14" s="4">
        <f>'Returns Summary'!B15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8" customHeight="1">
      <c r="A15" s="2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" customHeight="1">
      <c r="A16" s="2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18" customHeight="1">
      <c r="A17" s="56" t="inlineStr">
        <is>
          <t>Flags / Credit Committee Checks</t>
        </is>
      </c>
    </row>
    <row r="18" ht="18" customHeight="1">
      <c r="A18" s="2" t="inlineStr">
        <is>
          <t>DSCR Status</t>
        </is>
      </c>
      <c r="B18" s="7">
        <f>IF(ISNUMBER(B12),IF(B12&gt;=Inputs!B29,"PASS","FAIL"),"N/A - Unlevered")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8" customHeight="1">
      <c r="A19" s="2" t="inlineStr">
        <is>
          <t>Debt Yield Status</t>
        </is>
      </c>
      <c r="B19" s="8">
        <f>IF(ISNUMBER(B13),IF(B13&gt;=8%,"PASS","WATCH"),"N/A - Unlevered")</f>
        <v/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8" customHeight="1">
      <c r="A20" s="2" t="inlineStr">
        <is>
          <t>Exit Cap Spread</t>
        </is>
      </c>
      <c r="B20" s="7">
        <f>Inputs!B34-Inputs!B26</f>
        <v/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18" customHeight="1">
      <c r="A21" s="2" t="inlineStr">
        <is>
          <t>Stabilized Occ.</t>
        </is>
      </c>
      <c r="B21" s="7">
        <f>Inputs!B14</f>
        <v/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8" customHeight="1"/>
    <row r="23" ht="18" customHeight="1">
      <c r="A23" s="31" t="inlineStr">
        <is>
          <t>Unlevered Scenario Metrics</t>
        </is>
      </c>
      <c r="B23" s="31" t="n"/>
    </row>
    <row r="24" ht="18" customHeight="1">
      <c r="A24" s="33" t="inlineStr">
        <is>
          <t>Unlevered IRR</t>
        </is>
      </c>
      <c r="B24" s="59">
        <f>'Returns Summary'!B23</f>
        <v/>
      </c>
    </row>
    <row r="25" ht="18" customHeight="1">
      <c r="A25" s="33" t="inlineStr">
        <is>
          <t>Unlevered Equity Multiple</t>
        </is>
      </c>
      <c r="B25" s="36">
        <f>'Returns Summary'!B24</f>
        <v/>
      </c>
    </row>
    <row r="26" ht="18" customHeight="1">
      <c r="A26" s="33" t="inlineStr">
        <is>
          <t>Unlevered Avg Cash-on-Cash</t>
        </is>
      </c>
      <c r="B26" s="59">
        <f>'Returns Summary'!B25</f>
        <v/>
      </c>
    </row>
    <row r="27" ht="18" customHeight="1">
      <c r="A27" s="33" t="inlineStr">
        <is>
          <t>Unlevered Exit Value</t>
        </is>
      </c>
      <c r="B27" s="34">
        <f>'Returns Summary'!B26</f>
        <v/>
      </c>
    </row>
    <row r="28" ht="18" customHeight="1">
      <c r="A28" s="33" t="inlineStr">
        <is>
          <t>Unlevered Y5 NOI Yield on Cost</t>
        </is>
      </c>
      <c r="B28" s="59">
        <f>'Returns Summary'!B28</f>
        <v/>
      </c>
    </row>
    <row r="29" ht="18" customHeight="1"/>
    <row r="30" ht="18" customHeight="1">
      <c r="A30" s="63" t="inlineStr">
        <is>
          <t>Expanded Investor Metrics</t>
        </is>
      </c>
      <c r="B30" s="63" t="n"/>
    </row>
    <row r="31" ht="18" customHeight="1">
      <c r="A31" t="inlineStr">
        <is>
          <t>LP Equity Multiple</t>
        </is>
      </c>
      <c r="B31" s="36">
        <f>'Returns Summary'!B32</f>
        <v/>
      </c>
    </row>
    <row r="32" ht="18" customHeight="1">
      <c r="A32" t="inlineStr">
        <is>
          <t>GP Equity Multiple</t>
        </is>
      </c>
      <c r="B32" s="36">
        <f>'Returns Summary'!B33</f>
        <v/>
      </c>
    </row>
    <row r="33" ht="18" customHeight="1">
      <c r="A33" t="inlineStr">
        <is>
          <t>MOIC</t>
        </is>
      </c>
      <c r="B33" s="36">
        <f>'Returns Summary'!B34</f>
        <v/>
      </c>
    </row>
    <row r="34" ht="18" customHeight="1">
      <c r="A34" t="inlineStr">
        <is>
          <t>Yield on Cost</t>
        </is>
      </c>
      <c r="B34" s="36">
        <f>'Returns Summary'!B35</f>
        <v/>
      </c>
    </row>
    <row r="35" ht="18" customHeight="1">
      <c r="A35" t="inlineStr">
        <is>
          <t>Exit Yield</t>
        </is>
      </c>
      <c r="B35" s="59">
        <f>'Returns Summary'!B36</f>
        <v/>
      </c>
    </row>
    <row r="36" ht="18" customHeight="1">
      <c r="B36" s="59" t="n"/>
    </row>
    <row r="37" ht="18" customHeight="1">
      <c r="A37" s="63" t="inlineStr">
        <is>
          <t>Acquisition Diagnostics</t>
        </is>
      </c>
      <c r="B37" s="63" t="n"/>
    </row>
    <row r="38" ht="18" customHeight="1">
      <c r="A38" t="inlineStr">
        <is>
          <t>Price per Rentable SF</t>
        </is>
      </c>
      <c r="B38" s="46">
        <f>'Returns Summary'!B39</f>
        <v/>
      </c>
    </row>
    <row r="39" ht="18" customHeight="1">
      <c r="A39" t="inlineStr">
        <is>
          <t>Price per Unit</t>
        </is>
      </c>
      <c r="B39" s="46">
        <f>'Returns Summary'!B40</f>
        <v/>
      </c>
    </row>
    <row r="40" ht="18" customHeight="1">
      <c r="A40" t="inlineStr">
        <is>
          <t>Stabilized Cap</t>
        </is>
      </c>
      <c r="B40" s="59">
        <f>'Returns Summary'!B42</f>
        <v/>
      </c>
    </row>
    <row r="41" ht="18" customHeight="1">
      <c r="A41" t="inlineStr">
        <is>
          <t>Going-In Cap</t>
        </is>
      </c>
      <c r="B41" s="59">
        <f>'Returns Summary'!B41</f>
        <v/>
      </c>
    </row>
    <row r="42" ht="18" customHeight="1">
      <c r="A42" t="inlineStr">
        <is>
          <t>Debt Mode</t>
        </is>
      </c>
      <c r="B42">
        <f>'Returns Summary'!B46</f>
        <v/>
      </c>
    </row>
    <row r="43" ht="18" customHeight="1">
      <c r="A43" t="inlineStr">
        <is>
          <t>Unlevered Toggle</t>
        </is>
      </c>
      <c r="B43" t="inlineStr">
        <is>
          <t>Yes</t>
        </is>
      </c>
    </row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3">
    <mergeCell ref="A3:L3"/>
    <mergeCell ref="A1:L1"/>
    <mergeCell ref="A17:L17"/>
  </mergeCells>
  <conditionalFormatting sqref="B18:B19">
    <cfRule type="cellIs" priority="1" operator="equal" dxfId="0">
      <formula>"FAIL"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:J1"/>
    </sheetView>
  </sheetViews>
  <sheetFormatPr baseColWidth="8" defaultRowHeight="14.4"/>
  <cols>
    <col width="34" customWidth="1" min="1" max="1"/>
    <col width="120.33203125" customWidth="1" min="2" max="2"/>
    <col width="15" customWidth="1" min="3" max="29"/>
  </cols>
  <sheetData>
    <row r="1" ht="18" customHeight="1">
      <c r="A1" s="58" t="inlineStr">
        <is>
          <t>Sources &amp; Notes / Model Guide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3" t="inlineStr">
        <is>
          <t>Purpose</t>
        </is>
      </c>
      <c r="B3" s="1" t="inlineStr">
        <is>
          <t>Institutional self-storage acquisition model for lender and investor review.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8" customHeight="1">
      <c r="A4" s="3" t="inlineStr">
        <is>
          <t>Replace inputs</t>
        </is>
      </c>
      <c r="B4" s="1" t="inlineStr">
        <is>
          <t>All blue/yellow cells are sample inputs and should be replaced with real rent roll, T-12, tax, insurance, debt, construction, and market comp data.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8" customHeight="1">
      <c r="A5" s="3" t="inlineStr">
        <is>
          <t>Color convention</t>
        </is>
      </c>
      <c r="B5" s="1" t="inlineStr">
        <is>
          <t>Blue/yellow = editable input; green = linked from another worksheet; black = formula.</t>
        </is>
      </c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3" t="inlineStr">
        <is>
          <t>Caution</t>
        </is>
      </c>
      <c r="B6" s="1" t="inlineStr">
        <is>
          <t>Waterfall is an annual simplified promote model and should be reviewed by counsel/CPA before investor use.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2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2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56" t="inlineStr">
        <is>
          <t>Due Diligence Checklist</t>
        </is>
      </c>
    </row>
    <row r="10" ht="18" customHeight="1">
      <c r="A10" s="2" t="inlineStr">
        <is>
          <t>Rent roll by unit type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2" t="inlineStr">
        <is>
          <t>T-12 / T-3 P&amp;L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 ht="18" customHeight="1">
      <c r="A12" s="2" t="inlineStr">
        <is>
          <t>Physical and economic occupancy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18" customHeight="1">
      <c r="A13" s="2" t="inlineStr">
        <is>
          <t>Rate history and street rates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8" customHeight="1">
      <c r="A14" s="2" t="inlineStr">
        <is>
          <t>Delinquency / bad debt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18" customHeight="1">
      <c r="A15" s="2" t="inlineStr">
        <is>
          <t>Tax bill and reassessment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8" customHeight="1">
      <c r="A16" s="2" t="inlineStr">
        <is>
          <t>Insurance quote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18" customHeight="1">
      <c r="A17" s="2" t="inlineStr">
        <is>
          <t>Debt term sheet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8" customHeight="1">
      <c r="A18" s="2" t="inlineStr">
        <is>
          <t>Expansion zoning / permits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8" customHeight="1">
      <c r="A19" s="2" t="inlineStr">
        <is>
          <t>Market comp survey URLs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2">
    <mergeCell ref="A1:J1"/>
    <mergeCell ref="A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26" sqref="A26"/>
    </sheetView>
  </sheetViews>
  <sheetFormatPr baseColWidth="8" defaultRowHeight="14.4"/>
  <cols>
    <col width="31.21875" customWidth="1" min="1" max="1"/>
    <col width="15.6640625" customWidth="1" min="2" max="2"/>
    <col width="12" customWidth="1" min="3" max="3"/>
    <col width="17" customWidth="1" min="4" max="5"/>
    <col width="18" customWidth="1" min="6" max="6"/>
    <col width="17.88671875" customWidth="1" min="7" max="7"/>
    <col width="17.6640625" customWidth="1" min="8" max="8"/>
    <col width="15" customWidth="1" min="9" max="29"/>
  </cols>
  <sheetData>
    <row r="1" ht="18" customHeight="1">
      <c r="A1" s="58" t="inlineStr">
        <is>
          <t>Unit Mix &amp; Market Rent Comp Integration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56" t="inlineStr">
        <is>
          <t>Subject Unit Mix</t>
        </is>
      </c>
    </row>
    <row r="4" ht="18" customHeight="1">
      <c r="A4" s="14" t="inlineStr">
        <is>
          <t>Unit Type</t>
        </is>
      </c>
      <c r="B4" s="15" t="inlineStr">
        <is>
          <t>Units</t>
        </is>
      </c>
      <c r="C4" s="15" t="inlineStr">
        <is>
          <t>Avg SF</t>
        </is>
      </c>
      <c r="D4" s="15" t="inlineStr">
        <is>
          <t>Current Rent / Mo.</t>
        </is>
      </c>
      <c r="E4" s="15" t="inlineStr">
        <is>
          <t>Market Rent / Mo.</t>
        </is>
      </c>
      <c r="F4" s="15" t="inlineStr">
        <is>
          <t>Premium / Discount</t>
        </is>
      </c>
      <c r="G4" s="15" t="inlineStr">
        <is>
          <t>Current Annual GPR</t>
        </is>
      </c>
      <c r="H4" s="15" t="inlineStr">
        <is>
          <t>Market Annual GPR</t>
        </is>
      </c>
      <c r="I4" s="1" t="n"/>
      <c r="J4" s="1" t="n"/>
    </row>
    <row r="5" ht="18" customHeight="1">
      <c r="A5" s="2" t="inlineStr">
        <is>
          <t>5x5</t>
        </is>
      </c>
      <c r="B5" s="12" t="n">
        <v>100</v>
      </c>
      <c r="C5" s="12" t="n">
        <v>25</v>
      </c>
      <c r="D5" s="12" t="n">
        <v>80</v>
      </c>
      <c r="E5" s="12" t="n">
        <v>90</v>
      </c>
      <c r="F5" s="16">
        <f>IFERROR(E5/D5-1,0)</f>
        <v/>
      </c>
      <c r="G5" s="17">
        <f>B5*D5*12</f>
        <v/>
      </c>
      <c r="H5" s="17">
        <f>B5*E5*12</f>
        <v/>
      </c>
      <c r="I5" s="1" t="n"/>
      <c r="J5" s="1" t="n"/>
    </row>
    <row r="6" ht="18" customHeight="1">
      <c r="A6" s="2" t="inlineStr">
        <is>
          <t>5x10</t>
        </is>
      </c>
      <c r="B6" s="12" t="n">
        <v>120</v>
      </c>
      <c r="C6" s="12" t="n">
        <v>50</v>
      </c>
      <c r="D6" s="12" t="n">
        <v>125</v>
      </c>
      <c r="E6" s="12" t="n">
        <v>135</v>
      </c>
      <c r="F6" s="16">
        <f>IFERROR(E6/D6-1,0)</f>
        <v/>
      </c>
      <c r="G6" s="17">
        <f>B6*D6*12</f>
        <v/>
      </c>
      <c r="H6" s="17">
        <f>B6*E6*12</f>
        <v/>
      </c>
      <c r="I6" s="1" t="n"/>
      <c r="J6" s="1" t="n"/>
    </row>
    <row r="7" ht="18" customHeight="1">
      <c r="A7" s="2" t="inlineStr">
        <is>
          <t>10x10</t>
        </is>
      </c>
      <c r="B7" s="12" t="n">
        <v>140</v>
      </c>
      <c r="C7" s="12" t="n">
        <v>100</v>
      </c>
      <c r="D7" s="12" t="n">
        <v>205</v>
      </c>
      <c r="E7" s="12" t="n">
        <v>225</v>
      </c>
      <c r="F7" s="16">
        <f>IFERROR(E7/D7-1,0)</f>
        <v/>
      </c>
      <c r="G7" s="17">
        <f>B7*D7*12</f>
        <v/>
      </c>
      <c r="H7" s="17">
        <f>B7*E7*12</f>
        <v/>
      </c>
      <c r="I7" s="1" t="n"/>
      <c r="J7" s="1" t="n"/>
    </row>
    <row r="8" ht="18" customHeight="1">
      <c r="A8" s="2" t="inlineStr">
        <is>
          <t>10x15</t>
        </is>
      </c>
      <c r="B8" s="12" t="n">
        <v>75</v>
      </c>
      <c r="C8" s="12" t="n">
        <v>150</v>
      </c>
      <c r="D8" s="12" t="n">
        <v>285</v>
      </c>
      <c r="E8" s="12" t="n">
        <v>310</v>
      </c>
      <c r="F8" s="16">
        <f>IFERROR(E8/D8-1,0)</f>
        <v/>
      </c>
      <c r="G8" s="17">
        <f>B8*D8*12</f>
        <v/>
      </c>
      <c r="H8" s="17">
        <f>B8*E8*12</f>
        <v/>
      </c>
      <c r="I8" s="1" t="n"/>
      <c r="J8" s="1" t="n"/>
    </row>
    <row r="9" ht="18" customHeight="1">
      <c r="A9" s="2" t="inlineStr">
        <is>
          <t>10x20</t>
        </is>
      </c>
      <c r="B9" s="12" t="n">
        <v>50</v>
      </c>
      <c r="C9" s="12" t="n">
        <v>200</v>
      </c>
      <c r="D9" s="12" t="n">
        <v>375</v>
      </c>
      <c r="E9" s="12" t="n">
        <v>410</v>
      </c>
      <c r="F9" s="16">
        <f>IFERROR(E9/D9-1,0)</f>
        <v/>
      </c>
      <c r="G9" s="17">
        <f>B9*D9*12</f>
        <v/>
      </c>
      <c r="H9" s="17">
        <f>B9*E9*12</f>
        <v/>
      </c>
      <c r="I9" s="1" t="n"/>
      <c r="J9" s="1" t="n"/>
    </row>
    <row r="10" ht="18" customHeight="1">
      <c r="A10" s="2" t="inlineStr">
        <is>
          <t>Parking / Outdoor</t>
        </is>
      </c>
      <c r="B10" s="12" t="n">
        <v>20</v>
      </c>
      <c r="C10" s="12" t="n">
        <v>200</v>
      </c>
      <c r="D10" s="12" t="n">
        <v>150</v>
      </c>
      <c r="E10" s="12" t="n">
        <v>175</v>
      </c>
      <c r="F10" s="16">
        <f>IFERROR(E10/D10-1,0)</f>
        <v/>
      </c>
      <c r="G10" s="17">
        <f>B10*D10*12</f>
        <v/>
      </c>
      <c r="H10" s="17">
        <f>B10*E10*12</f>
        <v/>
      </c>
      <c r="I10" s="1" t="n"/>
      <c r="J10" s="1" t="n"/>
    </row>
    <row r="11" ht="18" customHeight="1">
      <c r="A11" s="18" t="inlineStr">
        <is>
          <t>Total / Weighted Avg</t>
        </is>
      </c>
      <c r="B11" s="19">
        <f>SUM(B5:B10)</f>
        <v/>
      </c>
      <c r="C11" s="29">
        <f>SUMPRODUCT(B5:B10,C5:C10)/B11</f>
        <v/>
      </c>
      <c r="D11" s="20">
        <f>SUMPRODUCT(B5:B10,D5:D10)/B11</f>
        <v/>
      </c>
      <c r="E11" s="20">
        <f>SUMPRODUCT(B5:B10,E5:E10)/B11</f>
        <v/>
      </c>
      <c r="F11" s="21">
        <f>IFERROR(E11/D11-1,0)</f>
        <v/>
      </c>
      <c r="G11" s="20">
        <f>SUM(G5:G10)</f>
        <v/>
      </c>
      <c r="H11" s="20">
        <f>SUM(H5:H10)</f>
        <v/>
      </c>
      <c r="I11" s="1" t="n"/>
      <c r="J11" s="1" t="n"/>
    </row>
    <row r="12" ht="18" customHeight="1">
      <c r="A12" s="2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18" customHeight="1">
      <c r="A13" s="2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8" customHeight="1">
      <c r="A14" s="56" t="inlineStr">
        <is>
          <t>Market Rent Comps</t>
        </is>
      </c>
    </row>
    <row r="15" ht="18" customHeight="1">
      <c r="A15" s="14" t="inlineStr">
        <is>
          <t>Comp Name</t>
        </is>
      </c>
      <c r="B15" s="15" t="inlineStr">
        <is>
          <t>Market / Address</t>
        </is>
      </c>
      <c r="C15" s="15" t="inlineStr">
        <is>
          <t>Distance</t>
        </is>
      </c>
      <c r="D15" s="15" t="inlineStr">
        <is>
          <t>Unit Type</t>
        </is>
      </c>
      <c r="E15" s="15" t="inlineStr">
        <is>
          <t>Quoted Rent / Mo.</t>
        </is>
      </c>
      <c r="F15" s="15" t="inlineStr">
        <is>
          <t>Source / URL</t>
        </is>
      </c>
      <c r="G15" s="15" t="inlineStr">
        <is>
          <t>Date</t>
        </is>
      </c>
      <c r="H15" s="15" t="inlineStr">
        <is>
          <t>Notes</t>
        </is>
      </c>
      <c r="I15" s="1" t="n"/>
      <c r="J15" s="1" t="n"/>
    </row>
    <row r="16" ht="18" customHeight="1">
      <c r="A16" s="22" t="inlineStr">
        <is>
          <t>Comp 1</t>
        </is>
      </c>
      <c r="B16" s="12" t="n"/>
      <c r="C16" s="12" t="n"/>
      <c r="D16" s="12" t="inlineStr">
        <is>
          <t>10x10</t>
        </is>
      </c>
      <c r="E16" s="9" t="n">
        <v>0</v>
      </c>
      <c r="F16" s="12" t="inlineStr">
        <is>
          <t>Add source URL</t>
        </is>
      </c>
      <c r="G16" s="12" t="n"/>
      <c r="H16" s="12" t="n"/>
      <c r="I16" s="1" t="n"/>
      <c r="J16" s="1" t="n"/>
    </row>
    <row r="17" ht="18" customHeight="1">
      <c r="A17" s="22" t="inlineStr">
        <is>
          <t>Comp 2</t>
        </is>
      </c>
      <c r="B17" s="12" t="n"/>
      <c r="C17" s="12" t="n"/>
      <c r="D17" s="12" t="inlineStr">
        <is>
          <t>10x10</t>
        </is>
      </c>
      <c r="E17" s="9" t="n">
        <v>0</v>
      </c>
      <c r="F17" s="12" t="inlineStr">
        <is>
          <t>Add source URL</t>
        </is>
      </c>
      <c r="G17" s="12" t="n"/>
      <c r="H17" s="12" t="n"/>
      <c r="I17" s="1" t="n"/>
      <c r="J17" s="1" t="n"/>
    </row>
    <row r="18" ht="18" customHeight="1">
      <c r="A18" s="22" t="inlineStr">
        <is>
          <t>Comp 3</t>
        </is>
      </c>
      <c r="B18" s="12" t="n"/>
      <c r="C18" s="12" t="n"/>
      <c r="D18" s="12" t="inlineStr">
        <is>
          <t>10x10</t>
        </is>
      </c>
      <c r="E18" s="9" t="n">
        <v>0</v>
      </c>
      <c r="F18" s="12" t="inlineStr">
        <is>
          <t>Add source URL</t>
        </is>
      </c>
      <c r="G18" s="12" t="n"/>
      <c r="H18" s="12" t="n"/>
      <c r="I18" s="1" t="n"/>
      <c r="J18" s="1" t="n"/>
    </row>
    <row r="19" ht="18" customHeight="1">
      <c r="A19" s="22" t="inlineStr">
        <is>
          <t>Comp 4</t>
        </is>
      </c>
      <c r="B19" s="12" t="n"/>
      <c r="C19" s="12" t="n"/>
      <c r="D19" s="12" t="inlineStr">
        <is>
          <t>10x10</t>
        </is>
      </c>
      <c r="E19" s="9" t="n">
        <v>0</v>
      </c>
      <c r="F19" s="12" t="inlineStr">
        <is>
          <t>Add source URL</t>
        </is>
      </c>
      <c r="G19" s="12" t="n"/>
      <c r="H19" s="12" t="n"/>
      <c r="I19" s="1" t="n"/>
      <c r="J19" s="1" t="n"/>
    </row>
    <row r="20" ht="18" customHeight="1">
      <c r="A20" s="22" t="inlineStr">
        <is>
          <t>Comp 5</t>
        </is>
      </c>
      <c r="B20" s="12" t="n"/>
      <c r="C20" s="12" t="n"/>
      <c r="D20" s="12" t="inlineStr">
        <is>
          <t>10x10</t>
        </is>
      </c>
      <c r="E20" s="9" t="n">
        <v>0</v>
      </c>
      <c r="F20" s="12" t="inlineStr">
        <is>
          <t>Add source URL</t>
        </is>
      </c>
      <c r="G20" s="12" t="n"/>
      <c r="H20" s="12" t="n"/>
      <c r="I20" s="1" t="n"/>
      <c r="J20" s="1" t="n"/>
    </row>
    <row r="21" ht="18" customHeight="1">
      <c r="A21" s="22" t="inlineStr">
        <is>
          <t>Comp 6</t>
        </is>
      </c>
      <c r="B21" s="12" t="n"/>
      <c r="C21" s="12" t="n"/>
      <c r="D21" s="12" t="inlineStr">
        <is>
          <t>10x10</t>
        </is>
      </c>
      <c r="E21" s="9" t="n">
        <v>0</v>
      </c>
      <c r="F21" s="12" t="inlineStr">
        <is>
          <t>Add source URL</t>
        </is>
      </c>
      <c r="G21" s="12" t="n"/>
      <c r="H21" s="12" t="n"/>
      <c r="I21" s="1" t="n"/>
      <c r="J21" s="1" t="n"/>
    </row>
    <row r="22" ht="18" customHeight="1">
      <c r="A22" s="22" t="inlineStr">
        <is>
          <t>Comp 7</t>
        </is>
      </c>
      <c r="B22" s="12" t="n"/>
      <c r="C22" s="12" t="n"/>
      <c r="D22" s="12" t="inlineStr">
        <is>
          <t>10x10</t>
        </is>
      </c>
      <c r="E22" s="9" t="n">
        <v>0</v>
      </c>
      <c r="F22" s="12" t="inlineStr">
        <is>
          <t>Add source URL</t>
        </is>
      </c>
      <c r="G22" s="12" t="n"/>
      <c r="H22" s="12" t="n"/>
      <c r="I22" s="1" t="n"/>
      <c r="J22" s="1" t="n"/>
    </row>
    <row r="23" ht="18" customHeight="1">
      <c r="A23" s="22" t="inlineStr">
        <is>
          <t>Comp 8</t>
        </is>
      </c>
      <c r="B23" s="12" t="n"/>
      <c r="C23" s="12" t="n"/>
      <c r="D23" s="12" t="inlineStr">
        <is>
          <t>10x10</t>
        </is>
      </c>
      <c r="E23" s="9" t="n">
        <v>0</v>
      </c>
      <c r="F23" s="12" t="inlineStr">
        <is>
          <t>Add source URL</t>
        </is>
      </c>
      <c r="G23" s="12" t="n"/>
      <c r="H23" s="12" t="n"/>
      <c r="I23" s="1" t="n"/>
      <c r="J23" s="1" t="n"/>
    </row>
    <row r="24" ht="18" customHeight="1">
      <c r="A24" s="22" t="inlineStr">
        <is>
          <t>Comp 9</t>
        </is>
      </c>
      <c r="B24" s="12" t="n"/>
      <c r="C24" s="12" t="n"/>
      <c r="D24" s="12" t="inlineStr">
        <is>
          <t>10x10</t>
        </is>
      </c>
      <c r="E24" s="9" t="n">
        <v>0</v>
      </c>
      <c r="F24" s="12" t="inlineStr">
        <is>
          <t>Add source URL</t>
        </is>
      </c>
      <c r="G24" s="12" t="n"/>
      <c r="H24" s="12" t="n"/>
      <c r="I24" s="1" t="n"/>
      <c r="J24" s="1" t="n"/>
    </row>
    <row r="25" ht="18" customHeight="1">
      <c r="A25" s="22" t="inlineStr">
        <is>
          <t>Comp 10</t>
        </is>
      </c>
      <c r="B25" s="12" t="n"/>
      <c r="C25" s="12" t="n"/>
      <c r="D25" s="12" t="inlineStr">
        <is>
          <t>10x10</t>
        </is>
      </c>
      <c r="E25" s="9" t="n">
        <v>0</v>
      </c>
      <c r="F25" s="12" t="inlineStr">
        <is>
          <t>Add source URL</t>
        </is>
      </c>
      <c r="G25" s="12" t="n"/>
      <c r="H25" s="12" t="n"/>
      <c r="I25" s="1" t="n"/>
      <c r="J25" s="1" t="n"/>
    </row>
    <row r="26" ht="18" customHeight="1">
      <c r="A26" s="2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18" customHeight="1">
      <c r="A27" s="2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18" customHeight="1">
      <c r="A28" s="56" t="inlineStr">
        <is>
          <t>Comp Summary</t>
        </is>
      </c>
    </row>
    <row r="29" ht="18" customHeight="1">
      <c r="A29" s="2" t="inlineStr">
        <is>
          <t>Average Quoted Rent / Mo.</t>
        </is>
      </c>
      <c r="B29" s="17">
        <f>IFERROR(AVERAGEIF(E16:E25,"&gt;0",E16:E25),"N/A")</f>
        <v/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18" customHeight="1">
      <c r="A30" s="2" t="inlineStr">
        <is>
          <t>Subject Weighted Market Rent / Mo.</t>
        </is>
      </c>
      <c r="B30" s="17">
        <f>E11</f>
        <v/>
      </c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18" customHeight="1">
      <c r="A31" s="2" t="inlineStr">
        <is>
          <t>Subject vs Comp Rent</t>
        </is>
      </c>
      <c r="B31" s="16">
        <f>IFERROR(B30/B29-1,0)</f>
        <v/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4">
    <mergeCell ref="A1:J1"/>
    <mergeCell ref="A28:J28"/>
    <mergeCell ref="A14:J14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:N1"/>
    </sheetView>
  </sheetViews>
  <sheetFormatPr baseColWidth="8" defaultRowHeight="14.4"/>
  <cols>
    <col width="34" customWidth="1" min="1" max="1"/>
    <col width="15" customWidth="1" min="2" max="29"/>
  </cols>
  <sheetData>
    <row r="1" ht="18" customHeight="1">
      <c r="A1" s="58" t="inlineStr">
        <is>
          <t>Monthly Lease-Up / Dynamic Occupancy Curves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8" customHeight="1">
      <c r="A3" s="14" t="inlineStr">
        <is>
          <t>Month</t>
        </is>
      </c>
      <c r="B3" s="15" t="inlineStr">
        <is>
          <t>Year</t>
        </is>
      </c>
      <c r="C3" s="15" t="inlineStr">
        <is>
          <t>Beginning Occ.</t>
        </is>
      </c>
      <c r="D3" s="15" t="inlineStr">
        <is>
          <t>Curve Occ.</t>
        </is>
      </c>
      <c r="E3" s="15" t="inlineStr">
        <is>
          <t>Physical Occ.</t>
        </is>
      </c>
      <c r="F3" s="15" t="inlineStr">
        <is>
          <t>Leased Units</t>
        </is>
      </c>
      <c r="G3" s="15" t="inlineStr">
        <is>
          <t>Economic Occ.</t>
        </is>
      </c>
      <c r="H3" s="15" t="inlineStr">
        <is>
          <t>Monthly Rent Growth</t>
        </is>
      </c>
      <c r="I3" s="15" t="inlineStr">
        <is>
          <t>Weighted Market Rent</t>
        </is>
      </c>
      <c r="J3" s="15" t="inlineStr">
        <is>
          <t>Rental Revenue</t>
        </is>
      </c>
      <c r="K3" s="15" t="inlineStr">
        <is>
          <t>Ancillary Income</t>
        </is>
      </c>
      <c r="L3" s="15" t="inlineStr">
        <is>
          <t>Total EGI</t>
        </is>
      </c>
      <c r="M3" s="1" t="n"/>
      <c r="N3" s="1" t="n"/>
    </row>
    <row r="4" ht="18" customHeight="1">
      <c r="A4" s="2" t="n">
        <v>1</v>
      </c>
      <c r="B4" s="8">
        <f>ROUNDUP(A4/12,0)</f>
        <v/>
      </c>
      <c r="C4" s="5">
        <f>Inputs!B13</f>
        <v/>
      </c>
      <c r="D4" s="5">
        <f>IF(Inputs!$B$16="Linear",MIN(Inputs!$B$14,Inputs!$B$13+(Inputs!$B$14-Inputs!$B$13)*A4/Inputs!$B$15),IF(Inputs!$B$16="S-Curve",Inputs!$B$13+(Inputs!$B$14-Inputs!$B$13)/(1+EXP(-0.25*(A4-Inputs!$B$15/2))),Inputs!$B$13+(Inputs!$B$14-Inputs!$B$13)/(1+EXP(-0.35*(A4-Inputs!$B$15/2)))))</f>
        <v/>
      </c>
      <c r="E4" s="5">
        <f>MIN(Inputs!$B$14,D4)</f>
        <v/>
      </c>
      <c r="F4" s="7">
        <f>'Unit Mix &amp; Market Comps'!$B$11*E4</f>
        <v/>
      </c>
      <c r="G4" s="5">
        <f>MAX(0,E4-Inputs!$B$17)</f>
        <v/>
      </c>
      <c r="H4" s="5">
        <f>Inputs!$B$18/12</f>
        <v/>
      </c>
      <c r="I4" s="4">
        <f>'Unit Mix &amp; Market Comps'!$E$11*(1+H4)^(A4-1)</f>
        <v/>
      </c>
      <c r="J4" s="4">
        <f>'Unit Mix &amp; Market Comps'!$B$11*I4*G4</f>
        <v/>
      </c>
      <c r="K4" s="4">
        <f>J4*(Inputs!$B$19+Inputs!$B$20)+Inputs!$B$21</f>
        <v/>
      </c>
      <c r="L4" s="17">
        <f>J4+K4</f>
        <v/>
      </c>
      <c r="M4" s="1" t="n"/>
      <c r="N4" s="1" t="n"/>
    </row>
    <row r="5" ht="18" customHeight="1">
      <c r="A5" s="2" t="n">
        <v>2</v>
      </c>
      <c r="B5" s="8">
        <f>ROUNDUP(A5/12,0)</f>
        <v/>
      </c>
      <c r="C5" s="16">
        <f>E4</f>
        <v/>
      </c>
      <c r="D5" s="5">
        <f>IF(Inputs!$B$16="Linear",MIN(Inputs!$B$14,Inputs!$B$13+(Inputs!$B$14-Inputs!$B$13)*A5/Inputs!$B$15),IF(Inputs!$B$16="S-Curve",Inputs!$B$13+(Inputs!$B$14-Inputs!$B$13)/(1+EXP(-0.25*(A5-Inputs!$B$15/2))),Inputs!$B$13+(Inputs!$B$14-Inputs!$B$13)/(1+EXP(-0.35*(A5-Inputs!$B$15/2)))))</f>
        <v/>
      </c>
      <c r="E5" s="5">
        <f>MIN(Inputs!$B$14,D5)</f>
        <v/>
      </c>
      <c r="F5" s="7">
        <f>'Unit Mix &amp; Market Comps'!$B$11*E5</f>
        <v/>
      </c>
      <c r="G5" s="5">
        <f>MAX(0,E5-Inputs!$B$17)</f>
        <v/>
      </c>
      <c r="H5" s="5">
        <f>Inputs!$B$18/12</f>
        <v/>
      </c>
      <c r="I5" s="4">
        <f>'Unit Mix &amp; Market Comps'!$E$11*(1+H5)^(A5-1)</f>
        <v/>
      </c>
      <c r="J5" s="4">
        <f>'Unit Mix &amp; Market Comps'!$B$11*I5*G5</f>
        <v/>
      </c>
      <c r="K5" s="4">
        <f>J5*(Inputs!$B$19+Inputs!$B$20)+Inputs!$B$21</f>
        <v/>
      </c>
      <c r="L5" s="17">
        <f>J5+K5</f>
        <v/>
      </c>
      <c r="M5" s="1" t="n"/>
      <c r="N5" s="1" t="n"/>
    </row>
    <row r="6" ht="18" customHeight="1">
      <c r="A6" s="2" t="n">
        <v>3</v>
      </c>
      <c r="B6" s="8">
        <f>ROUNDUP(A6/12,0)</f>
        <v/>
      </c>
      <c r="C6" s="16">
        <f>E5</f>
        <v/>
      </c>
      <c r="D6" s="5">
        <f>IF(Inputs!$B$16="Linear",MIN(Inputs!$B$14,Inputs!$B$13+(Inputs!$B$14-Inputs!$B$13)*A6/Inputs!$B$15),IF(Inputs!$B$16="S-Curve",Inputs!$B$13+(Inputs!$B$14-Inputs!$B$13)/(1+EXP(-0.25*(A6-Inputs!$B$15/2))),Inputs!$B$13+(Inputs!$B$14-Inputs!$B$13)/(1+EXP(-0.35*(A6-Inputs!$B$15/2)))))</f>
        <v/>
      </c>
      <c r="E6" s="5">
        <f>MIN(Inputs!$B$14,D6)</f>
        <v/>
      </c>
      <c r="F6" s="7">
        <f>'Unit Mix &amp; Market Comps'!$B$11*E6</f>
        <v/>
      </c>
      <c r="G6" s="5">
        <f>MAX(0,E6-Inputs!$B$17)</f>
        <v/>
      </c>
      <c r="H6" s="5">
        <f>Inputs!$B$18/12</f>
        <v/>
      </c>
      <c r="I6" s="4">
        <f>'Unit Mix &amp; Market Comps'!$E$11*(1+H6)^(A6-1)</f>
        <v/>
      </c>
      <c r="J6" s="4">
        <f>'Unit Mix &amp; Market Comps'!$B$11*I6*G6</f>
        <v/>
      </c>
      <c r="K6" s="4">
        <f>J6*(Inputs!$B$19+Inputs!$B$20)+Inputs!$B$21</f>
        <v/>
      </c>
      <c r="L6" s="17">
        <f>J6+K6</f>
        <v/>
      </c>
      <c r="M6" s="1" t="n"/>
      <c r="N6" s="1" t="n"/>
    </row>
    <row r="7" ht="18" customHeight="1">
      <c r="A7" s="2" t="n">
        <v>4</v>
      </c>
      <c r="B7" s="8">
        <f>ROUNDUP(A7/12,0)</f>
        <v/>
      </c>
      <c r="C7" s="16">
        <f>E6</f>
        <v/>
      </c>
      <c r="D7" s="5">
        <f>IF(Inputs!$B$16="Linear",MIN(Inputs!$B$14,Inputs!$B$13+(Inputs!$B$14-Inputs!$B$13)*A7/Inputs!$B$15),IF(Inputs!$B$16="S-Curve",Inputs!$B$13+(Inputs!$B$14-Inputs!$B$13)/(1+EXP(-0.25*(A7-Inputs!$B$15/2))),Inputs!$B$13+(Inputs!$B$14-Inputs!$B$13)/(1+EXP(-0.35*(A7-Inputs!$B$15/2)))))</f>
        <v/>
      </c>
      <c r="E7" s="5">
        <f>MIN(Inputs!$B$14,D7)</f>
        <v/>
      </c>
      <c r="F7" s="7">
        <f>'Unit Mix &amp; Market Comps'!$B$11*E7</f>
        <v/>
      </c>
      <c r="G7" s="5">
        <f>MAX(0,E7-Inputs!$B$17)</f>
        <v/>
      </c>
      <c r="H7" s="5">
        <f>Inputs!$B$18/12</f>
        <v/>
      </c>
      <c r="I7" s="4">
        <f>'Unit Mix &amp; Market Comps'!$E$11*(1+H7)^(A7-1)</f>
        <v/>
      </c>
      <c r="J7" s="4">
        <f>'Unit Mix &amp; Market Comps'!$B$11*I7*G7</f>
        <v/>
      </c>
      <c r="K7" s="4">
        <f>J7*(Inputs!$B$19+Inputs!$B$20)+Inputs!$B$21</f>
        <v/>
      </c>
      <c r="L7" s="17">
        <f>J7+K7</f>
        <v/>
      </c>
      <c r="M7" s="1" t="n"/>
      <c r="N7" s="1" t="n"/>
    </row>
    <row r="8" ht="18" customHeight="1">
      <c r="A8" s="2" t="n">
        <v>5</v>
      </c>
      <c r="B8" s="8">
        <f>ROUNDUP(A8/12,0)</f>
        <v/>
      </c>
      <c r="C8" s="16">
        <f>E7</f>
        <v/>
      </c>
      <c r="D8" s="5">
        <f>IF(Inputs!$B$16="Linear",MIN(Inputs!$B$14,Inputs!$B$13+(Inputs!$B$14-Inputs!$B$13)*A8/Inputs!$B$15),IF(Inputs!$B$16="S-Curve",Inputs!$B$13+(Inputs!$B$14-Inputs!$B$13)/(1+EXP(-0.25*(A8-Inputs!$B$15/2))),Inputs!$B$13+(Inputs!$B$14-Inputs!$B$13)/(1+EXP(-0.35*(A8-Inputs!$B$15/2)))))</f>
        <v/>
      </c>
      <c r="E8" s="5">
        <f>MIN(Inputs!$B$14,D8)</f>
        <v/>
      </c>
      <c r="F8" s="7">
        <f>'Unit Mix &amp; Market Comps'!$B$11*E8</f>
        <v/>
      </c>
      <c r="G8" s="5">
        <f>MAX(0,E8-Inputs!$B$17)</f>
        <v/>
      </c>
      <c r="H8" s="5">
        <f>Inputs!$B$18/12</f>
        <v/>
      </c>
      <c r="I8" s="4">
        <f>'Unit Mix &amp; Market Comps'!$E$11*(1+H8)^(A8-1)</f>
        <v/>
      </c>
      <c r="J8" s="4">
        <f>'Unit Mix &amp; Market Comps'!$B$11*I8*G8</f>
        <v/>
      </c>
      <c r="K8" s="4">
        <f>J8*(Inputs!$B$19+Inputs!$B$20)+Inputs!$B$21</f>
        <v/>
      </c>
      <c r="L8" s="17">
        <f>J8+K8</f>
        <v/>
      </c>
      <c r="M8" s="1" t="n"/>
      <c r="N8" s="1" t="n"/>
    </row>
    <row r="9" ht="18" customHeight="1">
      <c r="A9" s="2" t="n">
        <v>6</v>
      </c>
      <c r="B9" s="8">
        <f>ROUNDUP(A9/12,0)</f>
        <v/>
      </c>
      <c r="C9" s="16">
        <f>E8</f>
        <v/>
      </c>
      <c r="D9" s="5">
        <f>IF(Inputs!$B$16="Linear",MIN(Inputs!$B$14,Inputs!$B$13+(Inputs!$B$14-Inputs!$B$13)*A9/Inputs!$B$15),IF(Inputs!$B$16="S-Curve",Inputs!$B$13+(Inputs!$B$14-Inputs!$B$13)/(1+EXP(-0.25*(A9-Inputs!$B$15/2))),Inputs!$B$13+(Inputs!$B$14-Inputs!$B$13)/(1+EXP(-0.35*(A9-Inputs!$B$15/2)))))</f>
        <v/>
      </c>
      <c r="E9" s="5">
        <f>MIN(Inputs!$B$14,D9)</f>
        <v/>
      </c>
      <c r="F9" s="7">
        <f>'Unit Mix &amp; Market Comps'!$B$11*E9</f>
        <v/>
      </c>
      <c r="G9" s="5">
        <f>MAX(0,E9-Inputs!$B$17)</f>
        <v/>
      </c>
      <c r="H9" s="5">
        <f>Inputs!$B$18/12</f>
        <v/>
      </c>
      <c r="I9" s="4">
        <f>'Unit Mix &amp; Market Comps'!$E$11*(1+H9)^(A9-1)</f>
        <v/>
      </c>
      <c r="J9" s="4">
        <f>'Unit Mix &amp; Market Comps'!$B$11*I9*G9</f>
        <v/>
      </c>
      <c r="K9" s="4">
        <f>J9*(Inputs!$B$19+Inputs!$B$20)+Inputs!$B$21</f>
        <v/>
      </c>
      <c r="L9" s="17">
        <f>J9+K9</f>
        <v/>
      </c>
      <c r="M9" s="1" t="n"/>
      <c r="N9" s="1" t="n"/>
    </row>
    <row r="10" ht="18" customHeight="1">
      <c r="A10" s="2" t="n">
        <v>7</v>
      </c>
      <c r="B10" s="8">
        <f>ROUNDUP(A10/12,0)</f>
        <v/>
      </c>
      <c r="C10" s="16">
        <f>E9</f>
        <v/>
      </c>
      <c r="D10" s="5">
        <f>IF(Inputs!$B$16="Linear",MIN(Inputs!$B$14,Inputs!$B$13+(Inputs!$B$14-Inputs!$B$13)*A10/Inputs!$B$15),IF(Inputs!$B$16="S-Curve",Inputs!$B$13+(Inputs!$B$14-Inputs!$B$13)/(1+EXP(-0.25*(A10-Inputs!$B$15/2))),Inputs!$B$13+(Inputs!$B$14-Inputs!$B$13)/(1+EXP(-0.35*(A10-Inputs!$B$15/2)))))</f>
        <v/>
      </c>
      <c r="E10" s="5">
        <f>MIN(Inputs!$B$14,D10)</f>
        <v/>
      </c>
      <c r="F10" s="7">
        <f>'Unit Mix &amp; Market Comps'!$B$11*E10</f>
        <v/>
      </c>
      <c r="G10" s="5">
        <f>MAX(0,E10-Inputs!$B$17)</f>
        <v/>
      </c>
      <c r="H10" s="5">
        <f>Inputs!$B$18/12</f>
        <v/>
      </c>
      <c r="I10" s="4">
        <f>'Unit Mix &amp; Market Comps'!$E$11*(1+H10)^(A10-1)</f>
        <v/>
      </c>
      <c r="J10" s="4">
        <f>'Unit Mix &amp; Market Comps'!$B$11*I10*G10</f>
        <v/>
      </c>
      <c r="K10" s="4">
        <f>J10*(Inputs!$B$19+Inputs!$B$20)+Inputs!$B$21</f>
        <v/>
      </c>
      <c r="L10" s="17">
        <f>J10+K10</f>
        <v/>
      </c>
      <c r="M10" s="1" t="n"/>
      <c r="N10" s="1" t="n"/>
    </row>
    <row r="11" ht="18" customHeight="1">
      <c r="A11" s="2" t="n">
        <v>8</v>
      </c>
      <c r="B11" s="8">
        <f>ROUNDUP(A11/12,0)</f>
        <v/>
      </c>
      <c r="C11" s="16">
        <f>E10</f>
        <v/>
      </c>
      <c r="D11" s="5">
        <f>IF(Inputs!$B$16="Linear",MIN(Inputs!$B$14,Inputs!$B$13+(Inputs!$B$14-Inputs!$B$13)*A11/Inputs!$B$15),IF(Inputs!$B$16="S-Curve",Inputs!$B$13+(Inputs!$B$14-Inputs!$B$13)/(1+EXP(-0.25*(A11-Inputs!$B$15/2))),Inputs!$B$13+(Inputs!$B$14-Inputs!$B$13)/(1+EXP(-0.35*(A11-Inputs!$B$15/2)))))</f>
        <v/>
      </c>
      <c r="E11" s="5">
        <f>MIN(Inputs!$B$14,D11)</f>
        <v/>
      </c>
      <c r="F11" s="7">
        <f>'Unit Mix &amp; Market Comps'!$B$11*E11</f>
        <v/>
      </c>
      <c r="G11" s="5">
        <f>MAX(0,E11-Inputs!$B$17)</f>
        <v/>
      </c>
      <c r="H11" s="5">
        <f>Inputs!$B$18/12</f>
        <v/>
      </c>
      <c r="I11" s="4">
        <f>'Unit Mix &amp; Market Comps'!$E$11*(1+H11)^(A11-1)</f>
        <v/>
      </c>
      <c r="J11" s="4">
        <f>'Unit Mix &amp; Market Comps'!$B$11*I11*G11</f>
        <v/>
      </c>
      <c r="K11" s="4">
        <f>J11*(Inputs!$B$19+Inputs!$B$20)+Inputs!$B$21</f>
        <v/>
      </c>
      <c r="L11" s="17">
        <f>J11+K11</f>
        <v/>
      </c>
      <c r="M11" s="1" t="n"/>
      <c r="N11" s="1" t="n"/>
    </row>
    <row r="12" ht="18" customHeight="1">
      <c r="A12" s="2" t="n">
        <v>9</v>
      </c>
      <c r="B12" s="8">
        <f>ROUNDUP(A12/12,0)</f>
        <v/>
      </c>
      <c r="C12" s="16">
        <f>E11</f>
        <v/>
      </c>
      <c r="D12" s="5">
        <f>IF(Inputs!$B$16="Linear",MIN(Inputs!$B$14,Inputs!$B$13+(Inputs!$B$14-Inputs!$B$13)*A12/Inputs!$B$15),IF(Inputs!$B$16="S-Curve",Inputs!$B$13+(Inputs!$B$14-Inputs!$B$13)/(1+EXP(-0.25*(A12-Inputs!$B$15/2))),Inputs!$B$13+(Inputs!$B$14-Inputs!$B$13)/(1+EXP(-0.35*(A12-Inputs!$B$15/2)))))</f>
        <v/>
      </c>
      <c r="E12" s="5">
        <f>MIN(Inputs!$B$14,D12)</f>
        <v/>
      </c>
      <c r="F12" s="7">
        <f>'Unit Mix &amp; Market Comps'!$B$11*E12</f>
        <v/>
      </c>
      <c r="G12" s="5">
        <f>MAX(0,E12-Inputs!$B$17)</f>
        <v/>
      </c>
      <c r="H12" s="5">
        <f>Inputs!$B$18/12</f>
        <v/>
      </c>
      <c r="I12" s="4">
        <f>'Unit Mix &amp; Market Comps'!$E$11*(1+H12)^(A12-1)</f>
        <v/>
      </c>
      <c r="J12" s="4">
        <f>'Unit Mix &amp; Market Comps'!$B$11*I12*G12</f>
        <v/>
      </c>
      <c r="K12" s="4">
        <f>J12*(Inputs!$B$19+Inputs!$B$20)+Inputs!$B$21</f>
        <v/>
      </c>
      <c r="L12" s="17">
        <f>J12+K12</f>
        <v/>
      </c>
      <c r="M12" s="1" t="n"/>
      <c r="N12" s="1" t="n"/>
    </row>
    <row r="13" ht="18" customHeight="1">
      <c r="A13" s="2" t="n">
        <v>10</v>
      </c>
      <c r="B13" s="8">
        <f>ROUNDUP(A13/12,0)</f>
        <v/>
      </c>
      <c r="C13" s="16">
        <f>E12</f>
        <v/>
      </c>
      <c r="D13" s="5">
        <f>IF(Inputs!$B$16="Linear",MIN(Inputs!$B$14,Inputs!$B$13+(Inputs!$B$14-Inputs!$B$13)*A13/Inputs!$B$15),IF(Inputs!$B$16="S-Curve",Inputs!$B$13+(Inputs!$B$14-Inputs!$B$13)/(1+EXP(-0.25*(A13-Inputs!$B$15/2))),Inputs!$B$13+(Inputs!$B$14-Inputs!$B$13)/(1+EXP(-0.35*(A13-Inputs!$B$15/2)))))</f>
        <v/>
      </c>
      <c r="E13" s="5">
        <f>MIN(Inputs!$B$14,D13)</f>
        <v/>
      </c>
      <c r="F13" s="7">
        <f>'Unit Mix &amp; Market Comps'!$B$11*E13</f>
        <v/>
      </c>
      <c r="G13" s="5">
        <f>MAX(0,E13-Inputs!$B$17)</f>
        <v/>
      </c>
      <c r="H13" s="5">
        <f>Inputs!$B$18/12</f>
        <v/>
      </c>
      <c r="I13" s="4">
        <f>'Unit Mix &amp; Market Comps'!$E$11*(1+H13)^(A13-1)</f>
        <v/>
      </c>
      <c r="J13" s="4">
        <f>'Unit Mix &amp; Market Comps'!$B$11*I13*G13</f>
        <v/>
      </c>
      <c r="K13" s="4">
        <f>J13*(Inputs!$B$19+Inputs!$B$20)+Inputs!$B$21</f>
        <v/>
      </c>
      <c r="L13" s="17">
        <f>J13+K13</f>
        <v/>
      </c>
      <c r="M13" s="1" t="n"/>
      <c r="N13" s="1" t="n"/>
    </row>
    <row r="14" ht="18" customHeight="1">
      <c r="A14" s="2" t="n">
        <v>11</v>
      </c>
      <c r="B14" s="8">
        <f>ROUNDUP(A14/12,0)</f>
        <v/>
      </c>
      <c r="C14" s="16">
        <f>E13</f>
        <v/>
      </c>
      <c r="D14" s="5">
        <f>IF(Inputs!$B$16="Linear",MIN(Inputs!$B$14,Inputs!$B$13+(Inputs!$B$14-Inputs!$B$13)*A14/Inputs!$B$15),IF(Inputs!$B$16="S-Curve",Inputs!$B$13+(Inputs!$B$14-Inputs!$B$13)/(1+EXP(-0.25*(A14-Inputs!$B$15/2))),Inputs!$B$13+(Inputs!$B$14-Inputs!$B$13)/(1+EXP(-0.35*(A14-Inputs!$B$15/2)))))</f>
        <v/>
      </c>
      <c r="E14" s="5">
        <f>MIN(Inputs!$B$14,D14)</f>
        <v/>
      </c>
      <c r="F14" s="7">
        <f>'Unit Mix &amp; Market Comps'!$B$11*E14</f>
        <v/>
      </c>
      <c r="G14" s="5">
        <f>MAX(0,E14-Inputs!$B$17)</f>
        <v/>
      </c>
      <c r="H14" s="5">
        <f>Inputs!$B$18/12</f>
        <v/>
      </c>
      <c r="I14" s="4">
        <f>'Unit Mix &amp; Market Comps'!$E$11*(1+H14)^(A14-1)</f>
        <v/>
      </c>
      <c r="J14" s="4">
        <f>'Unit Mix &amp; Market Comps'!$B$11*I14*G14</f>
        <v/>
      </c>
      <c r="K14" s="4">
        <f>J14*(Inputs!$B$19+Inputs!$B$20)+Inputs!$B$21</f>
        <v/>
      </c>
      <c r="L14" s="17">
        <f>J14+K14</f>
        <v/>
      </c>
      <c r="M14" s="1" t="n"/>
      <c r="N14" s="1" t="n"/>
    </row>
    <row r="15" ht="18" customHeight="1">
      <c r="A15" s="2" t="n">
        <v>12</v>
      </c>
      <c r="B15" s="8">
        <f>ROUNDUP(A15/12,0)</f>
        <v/>
      </c>
      <c r="C15" s="16">
        <f>E14</f>
        <v/>
      </c>
      <c r="D15" s="5">
        <f>IF(Inputs!$B$16="Linear",MIN(Inputs!$B$14,Inputs!$B$13+(Inputs!$B$14-Inputs!$B$13)*A15/Inputs!$B$15),IF(Inputs!$B$16="S-Curve",Inputs!$B$13+(Inputs!$B$14-Inputs!$B$13)/(1+EXP(-0.25*(A15-Inputs!$B$15/2))),Inputs!$B$13+(Inputs!$B$14-Inputs!$B$13)/(1+EXP(-0.35*(A15-Inputs!$B$15/2)))))</f>
        <v/>
      </c>
      <c r="E15" s="5">
        <f>MIN(Inputs!$B$14,D15)</f>
        <v/>
      </c>
      <c r="F15" s="7">
        <f>'Unit Mix &amp; Market Comps'!$B$11*E15</f>
        <v/>
      </c>
      <c r="G15" s="5">
        <f>MAX(0,E15-Inputs!$B$17)</f>
        <v/>
      </c>
      <c r="H15" s="5">
        <f>Inputs!$B$18/12</f>
        <v/>
      </c>
      <c r="I15" s="4">
        <f>'Unit Mix &amp; Market Comps'!$E$11*(1+H15)^(A15-1)</f>
        <v/>
      </c>
      <c r="J15" s="4">
        <f>'Unit Mix &amp; Market Comps'!$B$11*I15*G15</f>
        <v/>
      </c>
      <c r="K15" s="4">
        <f>J15*(Inputs!$B$19+Inputs!$B$20)+Inputs!$B$21</f>
        <v/>
      </c>
      <c r="L15" s="17">
        <f>J15+K15</f>
        <v/>
      </c>
      <c r="M15" s="1" t="n"/>
      <c r="N15" s="1" t="n"/>
    </row>
    <row r="16" ht="18" customHeight="1">
      <c r="A16" s="2" t="n">
        <v>13</v>
      </c>
      <c r="B16" s="8">
        <f>ROUNDUP(A16/12,0)</f>
        <v/>
      </c>
      <c r="C16" s="16">
        <f>E15</f>
        <v/>
      </c>
      <c r="D16" s="5">
        <f>IF(Inputs!$B$16="Linear",MIN(Inputs!$B$14,Inputs!$B$13+(Inputs!$B$14-Inputs!$B$13)*A16/Inputs!$B$15),IF(Inputs!$B$16="S-Curve",Inputs!$B$13+(Inputs!$B$14-Inputs!$B$13)/(1+EXP(-0.25*(A16-Inputs!$B$15/2))),Inputs!$B$13+(Inputs!$B$14-Inputs!$B$13)/(1+EXP(-0.35*(A16-Inputs!$B$15/2)))))</f>
        <v/>
      </c>
      <c r="E16" s="5">
        <f>MIN(Inputs!$B$14,D16)</f>
        <v/>
      </c>
      <c r="F16" s="7">
        <f>'Unit Mix &amp; Market Comps'!$B$11*E16</f>
        <v/>
      </c>
      <c r="G16" s="5">
        <f>MAX(0,E16-Inputs!$B$17)</f>
        <v/>
      </c>
      <c r="H16" s="5">
        <f>Inputs!$B$18/12</f>
        <v/>
      </c>
      <c r="I16" s="4">
        <f>'Unit Mix &amp; Market Comps'!$E$11*(1+H16)^(A16-1)</f>
        <v/>
      </c>
      <c r="J16" s="4">
        <f>'Unit Mix &amp; Market Comps'!$B$11*I16*G16</f>
        <v/>
      </c>
      <c r="K16" s="4">
        <f>J16*(Inputs!$B$19+Inputs!$B$20)+Inputs!$B$21</f>
        <v/>
      </c>
      <c r="L16" s="17">
        <f>J16+K16</f>
        <v/>
      </c>
      <c r="M16" s="1" t="n"/>
      <c r="N16" s="1" t="n"/>
    </row>
    <row r="17" ht="18" customHeight="1">
      <c r="A17" s="2" t="n">
        <v>14</v>
      </c>
      <c r="B17" s="8">
        <f>ROUNDUP(A17/12,0)</f>
        <v/>
      </c>
      <c r="C17" s="16">
        <f>E16</f>
        <v/>
      </c>
      <c r="D17" s="5">
        <f>IF(Inputs!$B$16="Linear",MIN(Inputs!$B$14,Inputs!$B$13+(Inputs!$B$14-Inputs!$B$13)*A17/Inputs!$B$15),IF(Inputs!$B$16="S-Curve",Inputs!$B$13+(Inputs!$B$14-Inputs!$B$13)/(1+EXP(-0.25*(A17-Inputs!$B$15/2))),Inputs!$B$13+(Inputs!$B$14-Inputs!$B$13)/(1+EXP(-0.35*(A17-Inputs!$B$15/2)))))</f>
        <v/>
      </c>
      <c r="E17" s="5">
        <f>MIN(Inputs!$B$14,D17)</f>
        <v/>
      </c>
      <c r="F17" s="7">
        <f>'Unit Mix &amp; Market Comps'!$B$11*E17</f>
        <v/>
      </c>
      <c r="G17" s="5">
        <f>MAX(0,E17-Inputs!$B$17)</f>
        <v/>
      </c>
      <c r="H17" s="5">
        <f>Inputs!$B$18/12</f>
        <v/>
      </c>
      <c r="I17" s="4">
        <f>'Unit Mix &amp; Market Comps'!$E$11*(1+H17)^(A17-1)</f>
        <v/>
      </c>
      <c r="J17" s="4">
        <f>'Unit Mix &amp; Market Comps'!$B$11*I17*G17</f>
        <v/>
      </c>
      <c r="K17" s="4">
        <f>J17*(Inputs!$B$19+Inputs!$B$20)+Inputs!$B$21</f>
        <v/>
      </c>
      <c r="L17" s="17">
        <f>J17+K17</f>
        <v/>
      </c>
      <c r="M17" s="1" t="n"/>
      <c r="N17" s="1" t="n"/>
    </row>
    <row r="18" ht="18" customHeight="1">
      <c r="A18" s="2" t="n">
        <v>15</v>
      </c>
      <c r="B18" s="8">
        <f>ROUNDUP(A18/12,0)</f>
        <v/>
      </c>
      <c r="C18" s="16">
        <f>E17</f>
        <v/>
      </c>
      <c r="D18" s="5">
        <f>IF(Inputs!$B$16="Linear",MIN(Inputs!$B$14,Inputs!$B$13+(Inputs!$B$14-Inputs!$B$13)*A18/Inputs!$B$15),IF(Inputs!$B$16="S-Curve",Inputs!$B$13+(Inputs!$B$14-Inputs!$B$13)/(1+EXP(-0.25*(A18-Inputs!$B$15/2))),Inputs!$B$13+(Inputs!$B$14-Inputs!$B$13)/(1+EXP(-0.35*(A18-Inputs!$B$15/2)))))</f>
        <v/>
      </c>
      <c r="E18" s="5">
        <f>MIN(Inputs!$B$14,D18)</f>
        <v/>
      </c>
      <c r="F18" s="7">
        <f>'Unit Mix &amp; Market Comps'!$B$11*E18</f>
        <v/>
      </c>
      <c r="G18" s="5">
        <f>MAX(0,E18-Inputs!$B$17)</f>
        <v/>
      </c>
      <c r="H18" s="5">
        <f>Inputs!$B$18/12</f>
        <v/>
      </c>
      <c r="I18" s="4">
        <f>'Unit Mix &amp; Market Comps'!$E$11*(1+H18)^(A18-1)</f>
        <v/>
      </c>
      <c r="J18" s="4">
        <f>'Unit Mix &amp; Market Comps'!$B$11*I18*G18</f>
        <v/>
      </c>
      <c r="K18" s="4">
        <f>J18*(Inputs!$B$19+Inputs!$B$20)+Inputs!$B$21</f>
        <v/>
      </c>
      <c r="L18" s="17">
        <f>J18+K18</f>
        <v/>
      </c>
      <c r="M18" s="1" t="n"/>
      <c r="N18" s="1" t="n"/>
    </row>
    <row r="19" ht="18" customHeight="1">
      <c r="A19" s="2" t="n">
        <v>16</v>
      </c>
      <c r="B19" s="8">
        <f>ROUNDUP(A19/12,0)</f>
        <v/>
      </c>
      <c r="C19" s="16">
        <f>E18</f>
        <v/>
      </c>
      <c r="D19" s="5">
        <f>IF(Inputs!$B$16="Linear",MIN(Inputs!$B$14,Inputs!$B$13+(Inputs!$B$14-Inputs!$B$13)*A19/Inputs!$B$15),IF(Inputs!$B$16="S-Curve",Inputs!$B$13+(Inputs!$B$14-Inputs!$B$13)/(1+EXP(-0.25*(A19-Inputs!$B$15/2))),Inputs!$B$13+(Inputs!$B$14-Inputs!$B$13)/(1+EXP(-0.35*(A19-Inputs!$B$15/2)))))</f>
        <v/>
      </c>
      <c r="E19" s="5">
        <f>MIN(Inputs!$B$14,D19)</f>
        <v/>
      </c>
      <c r="F19" s="7">
        <f>'Unit Mix &amp; Market Comps'!$B$11*E19</f>
        <v/>
      </c>
      <c r="G19" s="5">
        <f>MAX(0,E19-Inputs!$B$17)</f>
        <v/>
      </c>
      <c r="H19" s="5">
        <f>Inputs!$B$18/12</f>
        <v/>
      </c>
      <c r="I19" s="4">
        <f>'Unit Mix &amp; Market Comps'!$E$11*(1+H19)^(A19-1)</f>
        <v/>
      </c>
      <c r="J19" s="4">
        <f>'Unit Mix &amp; Market Comps'!$B$11*I19*G19</f>
        <v/>
      </c>
      <c r="K19" s="4">
        <f>J19*(Inputs!$B$19+Inputs!$B$20)+Inputs!$B$21</f>
        <v/>
      </c>
      <c r="L19" s="17">
        <f>J19+K19</f>
        <v/>
      </c>
      <c r="M19" s="1" t="n"/>
      <c r="N19" s="1" t="n"/>
    </row>
    <row r="20" ht="18" customHeight="1">
      <c r="A20" s="2" t="n">
        <v>17</v>
      </c>
      <c r="B20" s="8">
        <f>ROUNDUP(A20/12,0)</f>
        <v/>
      </c>
      <c r="C20" s="16">
        <f>E19</f>
        <v/>
      </c>
      <c r="D20" s="5">
        <f>IF(Inputs!$B$16="Linear",MIN(Inputs!$B$14,Inputs!$B$13+(Inputs!$B$14-Inputs!$B$13)*A20/Inputs!$B$15),IF(Inputs!$B$16="S-Curve",Inputs!$B$13+(Inputs!$B$14-Inputs!$B$13)/(1+EXP(-0.25*(A20-Inputs!$B$15/2))),Inputs!$B$13+(Inputs!$B$14-Inputs!$B$13)/(1+EXP(-0.35*(A20-Inputs!$B$15/2)))))</f>
        <v/>
      </c>
      <c r="E20" s="5">
        <f>MIN(Inputs!$B$14,D20)</f>
        <v/>
      </c>
      <c r="F20" s="7">
        <f>'Unit Mix &amp; Market Comps'!$B$11*E20</f>
        <v/>
      </c>
      <c r="G20" s="5">
        <f>MAX(0,E20-Inputs!$B$17)</f>
        <v/>
      </c>
      <c r="H20" s="5">
        <f>Inputs!$B$18/12</f>
        <v/>
      </c>
      <c r="I20" s="4">
        <f>'Unit Mix &amp; Market Comps'!$E$11*(1+H20)^(A20-1)</f>
        <v/>
      </c>
      <c r="J20" s="4">
        <f>'Unit Mix &amp; Market Comps'!$B$11*I20*G20</f>
        <v/>
      </c>
      <c r="K20" s="4">
        <f>J20*(Inputs!$B$19+Inputs!$B$20)+Inputs!$B$21</f>
        <v/>
      </c>
      <c r="L20" s="17">
        <f>J20+K20</f>
        <v/>
      </c>
      <c r="M20" s="1" t="n"/>
      <c r="N20" s="1" t="n"/>
    </row>
    <row r="21" ht="18" customHeight="1">
      <c r="A21" s="2" t="n">
        <v>18</v>
      </c>
      <c r="B21" s="8">
        <f>ROUNDUP(A21/12,0)</f>
        <v/>
      </c>
      <c r="C21" s="16">
        <f>E20</f>
        <v/>
      </c>
      <c r="D21" s="5">
        <f>IF(Inputs!$B$16="Linear",MIN(Inputs!$B$14,Inputs!$B$13+(Inputs!$B$14-Inputs!$B$13)*A21/Inputs!$B$15),IF(Inputs!$B$16="S-Curve",Inputs!$B$13+(Inputs!$B$14-Inputs!$B$13)/(1+EXP(-0.25*(A21-Inputs!$B$15/2))),Inputs!$B$13+(Inputs!$B$14-Inputs!$B$13)/(1+EXP(-0.35*(A21-Inputs!$B$15/2)))))</f>
        <v/>
      </c>
      <c r="E21" s="5">
        <f>MIN(Inputs!$B$14,D21)</f>
        <v/>
      </c>
      <c r="F21" s="7">
        <f>'Unit Mix &amp; Market Comps'!$B$11*E21</f>
        <v/>
      </c>
      <c r="G21" s="5">
        <f>MAX(0,E21-Inputs!$B$17)</f>
        <v/>
      </c>
      <c r="H21" s="5">
        <f>Inputs!$B$18/12</f>
        <v/>
      </c>
      <c r="I21" s="4">
        <f>'Unit Mix &amp; Market Comps'!$E$11*(1+H21)^(A21-1)</f>
        <v/>
      </c>
      <c r="J21" s="4">
        <f>'Unit Mix &amp; Market Comps'!$B$11*I21*G21</f>
        <v/>
      </c>
      <c r="K21" s="4">
        <f>J21*(Inputs!$B$19+Inputs!$B$20)+Inputs!$B$21</f>
        <v/>
      </c>
      <c r="L21" s="17">
        <f>J21+K21</f>
        <v/>
      </c>
      <c r="M21" s="1" t="n"/>
      <c r="N21" s="1" t="n"/>
    </row>
    <row r="22" ht="18" customHeight="1">
      <c r="A22" s="2" t="n">
        <v>19</v>
      </c>
      <c r="B22" s="8">
        <f>ROUNDUP(A22/12,0)</f>
        <v/>
      </c>
      <c r="C22" s="16">
        <f>E21</f>
        <v/>
      </c>
      <c r="D22" s="5">
        <f>IF(Inputs!$B$16="Linear",MIN(Inputs!$B$14,Inputs!$B$13+(Inputs!$B$14-Inputs!$B$13)*A22/Inputs!$B$15),IF(Inputs!$B$16="S-Curve",Inputs!$B$13+(Inputs!$B$14-Inputs!$B$13)/(1+EXP(-0.25*(A22-Inputs!$B$15/2))),Inputs!$B$13+(Inputs!$B$14-Inputs!$B$13)/(1+EXP(-0.35*(A22-Inputs!$B$15/2)))))</f>
        <v/>
      </c>
      <c r="E22" s="5">
        <f>MIN(Inputs!$B$14,D22)</f>
        <v/>
      </c>
      <c r="F22" s="7">
        <f>'Unit Mix &amp; Market Comps'!$B$11*E22</f>
        <v/>
      </c>
      <c r="G22" s="5">
        <f>MAX(0,E22-Inputs!$B$17)</f>
        <v/>
      </c>
      <c r="H22" s="5">
        <f>Inputs!$B$18/12</f>
        <v/>
      </c>
      <c r="I22" s="4">
        <f>'Unit Mix &amp; Market Comps'!$E$11*(1+H22)^(A22-1)</f>
        <v/>
      </c>
      <c r="J22" s="4">
        <f>'Unit Mix &amp; Market Comps'!$B$11*I22*G22</f>
        <v/>
      </c>
      <c r="K22" s="4">
        <f>J22*(Inputs!$B$19+Inputs!$B$20)+Inputs!$B$21</f>
        <v/>
      </c>
      <c r="L22" s="17">
        <f>J22+K22</f>
        <v/>
      </c>
      <c r="M22" s="1" t="n"/>
      <c r="N22" s="1" t="n"/>
    </row>
    <row r="23" ht="18" customHeight="1">
      <c r="A23" s="2" t="n">
        <v>20</v>
      </c>
      <c r="B23" s="8">
        <f>ROUNDUP(A23/12,0)</f>
        <v/>
      </c>
      <c r="C23" s="16">
        <f>E22</f>
        <v/>
      </c>
      <c r="D23" s="5">
        <f>IF(Inputs!$B$16="Linear",MIN(Inputs!$B$14,Inputs!$B$13+(Inputs!$B$14-Inputs!$B$13)*A23/Inputs!$B$15),IF(Inputs!$B$16="S-Curve",Inputs!$B$13+(Inputs!$B$14-Inputs!$B$13)/(1+EXP(-0.25*(A23-Inputs!$B$15/2))),Inputs!$B$13+(Inputs!$B$14-Inputs!$B$13)/(1+EXP(-0.35*(A23-Inputs!$B$15/2)))))</f>
        <v/>
      </c>
      <c r="E23" s="5">
        <f>MIN(Inputs!$B$14,D23)</f>
        <v/>
      </c>
      <c r="F23" s="7">
        <f>'Unit Mix &amp; Market Comps'!$B$11*E23</f>
        <v/>
      </c>
      <c r="G23" s="5">
        <f>MAX(0,E23-Inputs!$B$17)</f>
        <v/>
      </c>
      <c r="H23" s="5">
        <f>Inputs!$B$18/12</f>
        <v/>
      </c>
      <c r="I23" s="4">
        <f>'Unit Mix &amp; Market Comps'!$E$11*(1+H23)^(A23-1)</f>
        <v/>
      </c>
      <c r="J23" s="4">
        <f>'Unit Mix &amp; Market Comps'!$B$11*I23*G23</f>
        <v/>
      </c>
      <c r="K23" s="4">
        <f>J23*(Inputs!$B$19+Inputs!$B$20)+Inputs!$B$21</f>
        <v/>
      </c>
      <c r="L23" s="17">
        <f>J23+K23</f>
        <v/>
      </c>
      <c r="M23" s="1" t="n"/>
      <c r="N23" s="1" t="n"/>
    </row>
    <row r="24" ht="18" customHeight="1">
      <c r="A24" s="2" t="n">
        <v>21</v>
      </c>
      <c r="B24" s="8">
        <f>ROUNDUP(A24/12,0)</f>
        <v/>
      </c>
      <c r="C24" s="16">
        <f>E23</f>
        <v/>
      </c>
      <c r="D24" s="5">
        <f>IF(Inputs!$B$16="Linear",MIN(Inputs!$B$14,Inputs!$B$13+(Inputs!$B$14-Inputs!$B$13)*A24/Inputs!$B$15),IF(Inputs!$B$16="S-Curve",Inputs!$B$13+(Inputs!$B$14-Inputs!$B$13)/(1+EXP(-0.25*(A24-Inputs!$B$15/2))),Inputs!$B$13+(Inputs!$B$14-Inputs!$B$13)/(1+EXP(-0.35*(A24-Inputs!$B$15/2)))))</f>
        <v/>
      </c>
      <c r="E24" s="5">
        <f>MIN(Inputs!$B$14,D24)</f>
        <v/>
      </c>
      <c r="F24" s="7">
        <f>'Unit Mix &amp; Market Comps'!$B$11*E24</f>
        <v/>
      </c>
      <c r="G24" s="5">
        <f>MAX(0,E24-Inputs!$B$17)</f>
        <v/>
      </c>
      <c r="H24" s="5">
        <f>Inputs!$B$18/12</f>
        <v/>
      </c>
      <c r="I24" s="4">
        <f>'Unit Mix &amp; Market Comps'!$E$11*(1+H24)^(A24-1)</f>
        <v/>
      </c>
      <c r="J24" s="4">
        <f>'Unit Mix &amp; Market Comps'!$B$11*I24*G24</f>
        <v/>
      </c>
      <c r="K24" s="4">
        <f>J24*(Inputs!$B$19+Inputs!$B$20)+Inputs!$B$21</f>
        <v/>
      </c>
      <c r="L24" s="17">
        <f>J24+K24</f>
        <v/>
      </c>
      <c r="M24" s="1" t="n"/>
      <c r="N24" s="1" t="n"/>
    </row>
    <row r="25" ht="18" customHeight="1">
      <c r="A25" s="2" t="n">
        <v>22</v>
      </c>
      <c r="B25" s="8">
        <f>ROUNDUP(A25/12,0)</f>
        <v/>
      </c>
      <c r="C25" s="16">
        <f>E24</f>
        <v/>
      </c>
      <c r="D25" s="5">
        <f>IF(Inputs!$B$16="Linear",MIN(Inputs!$B$14,Inputs!$B$13+(Inputs!$B$14-Inputs!$B$13)*A25/Inputs!$B$15),IF(Inputs!$B$16="S-Curve",Inputs!$B$13+(Inputs!$B$14-Inputs!$B$13)/(1+EXP(-0.25*(A25-Inputs!$B$15/2))),Inputs!$B$13+(Inputs!$B$14-Inputs!$B$13)/(1+EXP(-0.35*(A25-Inputs!$B$15/2)))))</f>
        <v/>
      </c>
      <c r="E25" s="5">
        <f>MIN(Inputs!$B$14,D25)</f>
        <v/>
      </c>
      <c r="F25" s="7">
        <f>'Unit Mix &amp; Market Comps'!$B$11*E25</f>
        <v/>
      </c>
      <c r="G25" s="5">
        <f>MAX(0,E25-Inputs!$B$17)</f>
        <v/>
      </c>
      <c r="H25" s="5">
        <f>Inputs!$B$18/12</f>
        <v/>
      </c>
      <c r="I25" s="4">
        <f>'Unit Mix &amp; Market Comps'!$E$11*(1+H25)^(A25-1)</f>
        <v/>
      </c>
      <c r="J25" s="4">
        <f>'Unit Mix &amp; Market Comps'!$B$11*I25*G25</f>
        <v/>
      </c>
      <c r="K25" s="4">
        <f>J25*(Inputs!$B$19+Inputs!$B$20)+Inputs!$B$21</f>
        <v/>
      </c>
      <c r="L25" s="17">
        <f>J25+K25</f>
        <v/>
      </c>
      <c r="M25" s="1" t="n"/>
      <c r="N25" s="1" t="n"/>
    </row>
    <row r="26" ht="18" customHeight="1">
      <c r="A26" s="2" t="n">
        <v>23</v>
      </c>
      <c r="B26" s="8">
        <f>ROUNDUP(A26/12,0)</f>
        <v/>
      </c>
      <c r="C26" s="16">
        <f>E25</f>
        <v/>
      </c>
      <c r="D26" s="5">
        <f>IF(Inputs!$B$16="Linear",MIN(Inputs!$B$14,Inputs!$B$13+(Inputs!$B$14-Inputs!$B$13)*A26/Inputs!$B$15),IF(Inputs!$B$16="S-Curve",Inputs!$B$13+(Inputs!$B$14-Inputs!$B$13)/(1+EXP(-0.25*(A26-Inputs!$B$15/2))),Inputs!$B$13+(Inputs!$B$14-Inputs!$B$13)/(1+EXP(-0.35*(A26-Inputs!$B$15/2)))))</f>
        <v/>
      </c>
      <c r="E26" s="5">
        <f>MIN(Inputs!$B$14,D26)</f>
        <v/>
      </c>
      <c r="F26" s="7">
        <f>'Unit Mix &amp; Market Comps'!$B$11*E26</f>
        <v/>
      </c>
      <c r="G26" s="5">
        <f>MAX(0,E26-Inputs!$B$17)</f>
        <v/>
      </c>
      <c r="H26" s="5">
        <f>Inputs!$B$18/12</f>
        <v/>
      </c>
      <c r="I26" s="4">
        <f>'Unit Mix &amp; Market Comps'!$E$11*(1+H26)^(A26-1)</f>
        <v/>
      </c>
      <c r="J26" s="4">
        <f>'Unit Mix &amp; Market Comps'!$B$11*I26*G26</f>
        <v/>
      </c>
      <c r="K26" s="4">
        <f>J26*(Inputs!$B$19+Inputs!$B$20)+Inputs!$B$21</f>
        <v/>
      </c>
      <c r="L26" s="17">
        <f>J26+K26</f>
        <v/>
      </c>
      <c r="M26" s="1" t="n"/>
      <c r="N26" s="1" t="n"/>
    </row>
    <row r="27" ht="18" customHeight="1">
      <c r="A27" s="2" t="n">
        <v>24</v>
      </c>
      <c r="B27" s="8">
        <f>ROUNDUP(A27/12,0)</f>
        <v/>
      </c>
      <c r="C27" s="16">
        <f>E26</f>
        <v/>
      </c>
      <c r="D27" s="5">
        <f>IF(Inputs!$B$16="Linear",MIN(Inputs!$B$14,Inputs!$B$13+(Inputs!$B$14-Inputs!$B$13)*A27/Inputs!$B$15),IF(Inputs!$B$16="S-Curve",Inputs!$B$13+(Inputs!$B$14-Inputs!$B$13)/(1+EXP(-0.25*(A27-Inputs!$B$15/2))),Inputs!$B$13+(Inputs!$B$14-Inputs!$B$13)/(1+EXP(-0.35*(A27-Inputs!$B$15/2)))))</f>
        <v/>
      </c>
      <c r="E27" s="5">
        <f>MIN(Inputs!$B$14,D27)</f>
        <v/>
      </c>
      <c r="F27" s="7">
        <f>'Unit Mix &amp; Market Comps'!$B$11*E27</f>
        <v/>
      </c>
      <c r="G27" s="5">
        <f>MAX(0,E27-Inputs!$B$17)</f>
        <v/>
      </c>
      <c r="H27" s="5">
        <f>Inputs!$B$18/12</f>
        <v/>
      </c>
      <c r="I27" s="4">
        <f>'Unit Mix &amp; Market Comps'!$E$11*(1+H27)^(A27-1)</f>
        <v/>
      </c>
      <c r="J27" s="4">
        <f>'Unit Mix &amp; Market Comps'!$B$11*I27*G27</f>
        <v/>
      </c>
      <c r="K27" s="4">
        <f>J27*(Inputs!$B$19+Inputs!$B$20)+Inputs!$B$21</f>
        <v/>
      </c>
      <c r="L27" s="17">
        <f>J27+K27</f>
        <v/>
      </c>
      <c r="M27" s="1" t="n"/>
      <c r="N27" s="1" t="n"/>
    </row>
    <row r="28" ht="18" customHeight="1">
      <c r="A28" s="2" t="n">
        <v>25</v>
      </c>
      <c r="B28" s="8">
        <f>ROUNDUP(A28/12,0)</f>
        <v/>
      </c>
      <c r="C28" s="16">
        <f>E27</f>
        <v/>
      </c>
      <c r="D28" s="5">
        <f>IF(Inputs!$B$16="Linear",MIN(Inputs!$B$14,Inputs!$B$13+(Inputs!$B$14-Inputs!$B$13)*A28/Inputs!$B$15),IF(Inputs!$B$16="S-Curve",Inputs!$B$13+(Inputs!$B$14-Inputs!$B$13)/(1+EXP(-0.25*(A28-Inputs!$B$15/2))),Inputs!$B$13+(Inputs!$B$14-Inputs!$B$13)/(1+EXP(-0.35*(A28-Inputs!$B$15/2)))))</f>
        <v/>
      </c>
      <c r="E28" s="5">
        <f>MIN(Inputs!$B$14,D28)</f>
        <v/>
      </c>
      <c r="F28" s="7">
        <f>'Unit Mix &amp; Market Comps'!$B$11*E28</f>
        <v/>
      </c>
      <c r="G28" s="5">
        <f>MAX(0,E28-Inputs!$B$17)</f>
        <v/>
      </c>
      <c r="H28" s="5">
        <f>Inputs!$B$18/12</f>
        <v/>
      </c>
      <c r="I28" s="4">
        <f>'Unit Mix &amp; Market Comps'!$E$11*(1+H28)^(A28-1)</f>
        <v/>
      </c>
      <c r="J28" s="4">
        <f>'Unit Mix &amp; Market Comps'!$B$11*I28*G28</f>
        <v/>
      </c>
      <c r="K28" s="4">
        <f>J28*(Inputs!$B$19+Inputs!$B$20)+Inputs!$B$21</f>
        <v/>
      </c>
      <c r="L28" s="17">
        <f>J28+K28</f>
        <v/>
      </c>
      <c r="M28" s="1" t="n"/>
      <c r="N28" s="1" t="n"/>
    </row>
    <row r="29" ht="18" customHeight="1">
      <c r="A29" s="2" t="n">
        <v>26</v>
      </c>
      <c r="B29" s="8">
        <f>ROUNDUP(A29/12,0)</f>
        <v/>
      </c>
      <c r="C29" s="16">
        <f>E28</f>
        <v/>
      </c>
      <c r="D29" s="5">
        <f>IF(Inputs!$B$16="Linear",MIN(Inputs!$B$14,Inputs!$B$13+(Inputs!$B$14-Inputs!$B$13)*A29/Inputs!$B$15),IF(Inputs!$B$16="S-Curve",Inputs!$B$13+(Inputs!$B$14-Inputs!$B$13)/(1+EXP(-0.25*(A29-Inputs!$B$15/2))),Inputs!$B$13+(Inputs!$B$14-Inputs!$B$13)/(1+EXP(-0.35*(A29-Inputs!$B$15/2)))))</f>
        <v/>
      </c>
      <c r="E29" s="5">
        <f>MIN(Inputs!$B$14,D29)</f>
        <v/>
      </c>
      <c r="F29" s="7">
        <f>'Unit Mix &amp; Market Comps'!$B$11*E29</f>
        <v/>
      </c>
      <c r="G29" s="5">
        <f>MAX(0,E29-Inputs!$B$17)</f>
        <v/>
      </c>
      <c r="H29" s="5">
        <f>Inputs!$B$18/12</f>
        <v/>
      </c>
      <c r="I29" s="4">
        <f>'Unit Mix &amp; Market Comps'!$E$11*(1+H29)^(A29-1)</f>
        <v/>
      </c>
      <c r="J29" s="4">
        <f>'Unit Mix &amp; Market Comps'!$B$11*I29*G29</f>
        <v/>
      </c>
      <c r="K29" s="4">
        <f>J29*(Inputs!$B$19+Inputs!$B$20)+Inputs!$B$21</f>
        <v/>
      </c>
      <c r="L29" s="17">
        <f>J29+K29</f>
        <v/>
      </c>
      <c r="M29" s="1" t="n"/>
      <c r="N29" s="1" t="n"/>
    </row>
    <row r="30" ht="18" customHeight="1">
      <c r="A30" s="2" t="n">
        <v>27</v>
      </c>
      <c r="B30" s="8">
        <f>ROUNDUP(A30/12,0)</f>
        <v/>
      </c>
      <c r="C30" s="16">
        <f>E29</f>
        <v/>
      </c>
      <c r="D30" s="5">
        <f>IF(Inputs!$B$16="Linear",MIN(Inputs!$B$14,Inputs!$B$13+(Inputs!$B$14-Inputs!$B$13)*A30/Inputs!$B$15),IF(Inputs!$B$16="S-Curve",Inputs!$B$13+(Inputs!$B$14-Inputs!$B$13)/(1+EXP(-0.25*(A30-Inputs!$B$15/2))),Inputs!$B$13+(Inputs!$B$14-Inputs!$B$13)/(1+EXP(-0.35*(A30-Inputs!$B$15/2)))))</f>
        <v/>
      </c>
      <c r="E30" s="5">
        <f>MIN(Inputs!$B$14,D30)</f>
        <v/>
      </c>
      <c r="F30" s="7">
        <f>'Unit Mix &amp; Market Comps'!$B$11*E30</f>
        <v/>
      </c>
      <c r="G30" s="5">
        <f>MAX(0,E30-Inputs!$B$17)</f>
        <v/>
      </c>
      <c r="H30" s="5">
        <f>Inputs!$B$18/12</f>
        <v/>
      </c>
      <c r="I30" s="4">
        <f>'Unit Mix &amp; Market Comps'!$E$11*(1+H30)^(A30-1)</f>
        <v/>
      </c>
      <c r="J30" s="4">
        <f>'Unit Mix &amp; Market Comps'!$B$11*I30*G30</f>
        <v/>
      </c>
      <c r="K30" s="4">
        <f>J30*(Inputs!$B$19+Inputs!$B$20)+Inputs!$B$21</f>
        <v/>
      </c>
      <c r="L30" s="17">
        <f>J30+K30</f>
        <v/>
      </c>
      <c r="M30" s="1" t="n"/>
      <c r="N30" s="1" t="n"/>
    </row>
    <row r="31" ht="18" customHeight="1">
      <c r="A31" s="2" t="n">
        <v>28</v>
      </c>
      <c r="B31" s="8">
        <f>ROUNDUP(A31/12,0)</f>
        <v/>
      </c>
      <c r="C31" s="16">
        <f>E30</f>
        <v/>
      </c>
      <c r="D31" s="5">
        <f>IF(Inputs!$B$16="Linear",MIN(Inputs!$B$14,Inputs!$B$13+(Inputs!$B$14-Inputs!$B$13)*A31/Inputs!$B$15),IF(Inputs!$B$16="S-Curve",Inputs!$B$13+(Inputs!$B$14-Inputs!$B$13)/(1+EXP(-0.25*(A31-Inputs!$B$15/2))),Inputs!$B$13+(Inputs!$B$14-Inputs!$B$13)/(1+EXP(-0.35*(A31-Inputs!$B$15/2)))))</f>
        <v/>
      </c>
      <c r="E31" s="5">
        <f>MIN(Inputs!$B$14,D31)</f>
        <v/>
      </c>
      <c r="F31" s="7">
        <f>'Unit Mix &amp; Market Comps'!$B$11*E31</f>
        <v/>
      </c>
      <c r="G31" s="5">
        <f>MAX(0,E31-Inputs!$B$17)</f>
        <v/>
      </c>
      <c r="H31" s="5">
        <f>Inputs!$B$18/12</f>
        <v/>
      </c>
      <c r="I31" s="4">
        <f>'Unit Mix &amp; Market Comps'!$E$11*(1+H31)^(A31-1)</f>
        <v/>
      </c>
      <c r="J31" s="4">
        <f>'Unit Mix &amp; Market Comps'!$B$11*I31*G31</f>
        <v/>
      </c>
      <c r="K31" s="4">
        <f>J31*(Inputs!$B$19+Inputs!$B$20)+Inputs!$B$21</f>
        <v/>
      </c>
      <c r="L31" s="17">
        <f>J31+K31</f>
        <v/>
      </c>
      <c r="M31" s="1" t="n"/>
      <c r="N31" s="1" t="n"/>
    </row>
    <row r="32" ht="18" customHeight="1">
      <c r="A32" s="2" t="n">
        <v>29</v>
      </c>
      <c r="B32" s="8">
        <f>ROUNDUP(A32/12,0)</f>
        <v/>
      </c>
      <c r="C32" s="16">
        <f>E31</f>
        <v/>
      </c>
      <c r="D32" s="5">
        <f>IF(Inputs!$B$16="Linear",MIN(Inputs!$B$14,Inputs!$B$13+(Inputs!$B$14-Inputs!$B$13)*A32/Inputs!$B$15),IF(Inputs!$B$16="S-Curve",Inputs!$B$13+(Inputs!$B$14-Inputs!$B$13)/(1+EXP(-0.25*(A32-Inputs!$B$15/2))),Inputs!$B$13+(Inputs!$B$14-Inputs!$B$13)/(1+EXP(-0.35*(A32-Inputs!$B$15/2)))))</f>
        <v/>
      </c>
      <c r="E32" s="5">
        <f>MIN(Inputs!$B$14,D32)</f>
        <v/>
      </c>
      <c r="F32" s="7">
        <f>'Unit Mix &amp; Market Comps'!$B$11*E32</f>
        <v/>
      </c>
      <c r="G32" s="5">
        <f>MAX(0,E32-Inputs!$B$17)</f>
        <v/>
      </c>
      <c r="H32" s="5">
        <f>Inputs!$B$18/12</f>
        <v/>
      </c>
      <c r="I32" s="4">
        <f>'Unit Mix &amp; Market Comps'!$E$11*(1+H32)^(A32-1)</f>
        <v/>
      </c>
      <c r="J32" s="4">
        <f>'Unit Mix &amp; Market Comps'!$B$11*I32*G32</f>
        <v/>
      </c>
      <c r="K32" s="4">
        <f>J32*(Inputs!$B$19+Inputs!$B$20)+Inputs!$B$21</f>
        <v/>
      </c>
      <c r="L32" s="17">
        <f>J32+K32</f>
        <v/>
      </c>
      <c r="M32" s="1" t="n"/>
      <c r="N32" s="1" t="n"/>
    </row>
    <row r="33" ht="18" customHeight="1">
      <c r="A33" s="2" t="n">
        <v>30</v>
      </c>
      <c r="B33" s="8">
        <f>ROUNDUP(A33/12,0)</f>
        <v/>
      </c>
      <c r="C33" s="16">
        <f>E32</f>
        <v/>
      </c>
      <c r="D33" s="5">
        <f>IF(Inputs!$B$16="Linear",MIN(Inputs!$B$14,Inputs!$B$13+(Inputs!$B$14-Inputs!$B$13)*A33/Inputs!$B$15),IF(Inputs!$B$16="S-Curve",Inputs!$B$13+(Inputs!$B$14-Inputs!$B$13)/(1+EXP(-0.25*(A33-Inputs!$B$15/2))),Inputs!$B$13+(Inputs!$B$14-Inputs!$B$13)/(1+EXP(-0.35*(A33-Inputs!$B$15/2)))))</f>
        <v/>
      </c>
      <c r="E33" s="5">
        <f>MIN(Inputs!$B$14,D33)</f>
        <v/>
      </c>
      <c r="F33" s="7">
        <f>'Unit Mix &amp; Market Comps'!$B$11*E33</f>
        <v/>
      </c>
      <c r="G33" s="5">
        <f>MAX(0,E33-Inputs!$B$17)</f>
        <v/>
      </c>
      <c r="H33" s="5">
        <f>Inputs!$B$18/12</f>
        <v/>
      </c>
      <c r="I33" s="4">
        <f>'Unit Mix &amp; Market Comps'!$E$11*(1+H33)^(A33-1)</f>
        <v/>
      </c>
      <c r="J33" s="4">
        <f>'Unit Mix &amp; Market Comps'!$B$11*I33*G33</f>
        <v/>
      </c>
      <c r="K33" s="4">
        <f>J33*(Inputs!$B$19+Inputs!$B$20)+Inputs!$B$21</f>
        <v/>
      </c>
      <c r="L33" s="17">
        <f>J33+K33</f>
        <v/>
      </c>
      <c r="M33" s="1" t="n"/>
      <c r="N33" s="1" t="n"/>
    </row>
    <row r="34" ht="18" customHeight="1">
      <c r="A34" s="2" t="n">
        <v>31</v>
      </c>
      <c r="B34" s="8">
        <f>ROUNDUP(A34/12,0)</f>
        <v/>
      </c>
      <c r="C34" s="16">
        <f>E33</f>
        <v/>
      </c>
      <c r="D34" s="5">
        <f>IF(Inputs!$B$16="Linear",MIN(Inputs!$B$14,Inputs!$B$13+(Inputs!$B$14-Inputs!$B$13)*A34/Inputs!$B$15),IF(Inputs!$B$16="S-Curve",Inputs!$B$13+(Inputs!$B$14-Inputs!$B$13)/(1+EXP(-0.25*(A34-Inputs!$B$15/2))),Inputs!$B$13+(Inputs!$B$14-Inputs!$B$13)/(1+EXP(-0.35*(A34-Inputs!$B$15/2)))))</f>
        <v/>
      </c>
      <c r="E34" s="5">
        <f>MIN(Inputs!$B$14,D34)</f>
        <v/>
      </c>
      <c r="F34" s="7">
        <f>'Unit Mix &amp; Market Comps'!$B$11*E34</f>
        <v/>
      </c>
      <c r="G34" s="5">
        <f>MAX(0,E34-Inputs!$B$17)</f>
        <v/>
      </c>
      <c r="H34" s="5">
        <f>Inputs!$B$18/12</f>
        <v/>
      </c>
      <c r="I34" s="4">
        <f>'Unit Mix &amp; Market Comps'!$E$11*(1+H34)^(A34-1)</f>
        <v/>
      </c>
      <c r="J34" s="4">
        <f>'Unit Mix &amp; Market Comps'!$B$11*I34*G34</f>
        <v/>
      </c>
      <c r="K34" s="4">
        <f>J34*(Inputs!$B$19+Inputs!$B$20)+Inputs!$B$21</f>
        <v/>
      </c>
      <c r="L34" s="17">
        <f>J34+K34</f>
        <v/>
      </c>
      <c r="M34" s="1" t="n"/>
      <c r="N34" s="1" t="n"/>
    </row>
    <row r="35" ht="18" customHeight="1">
      <c r="A35" s="2" t="n">
        <v>32</v>
      </c>
      <c r="B35" s="8">
        <f>ROUNDUP(A35/12,0)</f>
        <v/>
      </c>
      <c r="C35" s="16">
        <f>E34</f>
        <v/>
      </c>
      <c r="D35" s="5">
        <f>IF(Inputs!$B$16="Linear",MIN(Inputs!$B$14,Inputs!$B$13+(Inputs!$B$14-Inputs!$B$13)*A35/Inputs!$B$15),IF(Inputs!$B$16="S-Curve",Inputs!$B$13+(Inputs!$B$14-Inputs!$B$13)/(1+EXP(-0.25*(A35-Inputs!$B$15/2))),Inputs!$B$13+(Inputs!$B$14-Inputs!$B$13)/(1+EXP(-0.35*(A35-Inputs!$B$15/2)))))</f>
        <v/>
      </c>
      <c r="E35" s="5">
        <f>MIN(Inputs!$B$14,D35)</f>
        <v/>
      </c>
      <c r="F35" s="7">
        <f>'Unit Mix &amp; Market Comps'!$B$11*E35</f>
        <v/>
      </c>
      <c r="G35" s="5">
        <f>MAX(0,E35-Inputs!$B$17)</f>
        <v/>
      </c>
      <c r="H35" s="5">
        <f>Inputs!$B$18/12</f>
        <v/>
      </c>
      <c r="I35" s="4">
        <f>'Unit Mix &amp; Market Comps'!$E$11*(1+H35)^(A35-1)</f>
        <v/>
      </c>
      <c r="J35" s="4">
        <f>'Unit Mix &amp; Market Comps'!$B$11*I35*G35</f>
        <v/>
      </c>
      <c r="K35" s="4">
        <f>J35*(Inputs!$B$19+Inputs!$B$20)+Inputs!$B$21</f>
        <v/>
      </c>
      <c r="L35" s="17">
        <f>J35+K35</f>
        <v/>
      </c>
      <c r="M35" s="1" t="n"/>
      <c r="N35" s="1" t="n"/>
    </row>
    <row r="36" ht="18" customHeight="1">
      <c r="A36" s="2" t="n">
        <v>33</v>
      </c>
      <c r="B36" s="8">
        <f>ROUNDUP(A36/12,0)</f>
        <v/>
      </c>
      <c r="C36" s="16">
        <f>E35</f>
        <v/>
      </c>
      <c r="D36" s="5">
        <f>IF(Inputs!$B$16="Linear",MIN(Inputs!$B$14,Inputs!$B$13+(Inputs!$B$14-Inputs!$B$13)*A36/Inputs!$B$15),IF(Inputs!$B$16="S-Curve",Inputs!$B$13+(Inputs!$B$14-Inputs!$B$13)/(1+EXP(-0.25*(A36-Inputs!$B$15/2))),Inputs!$B$13+(Inputs!$B$14-Inputs!$B$13)/(1+EXP(-0.35*(A36-Inputs!$B$15/2)))))</f>
        <v/>
      </c>
      <c r="E36" s="5">
        <f>MIN(Inputs!$B$14,D36)</f>
        <v/>
      </c>
      <c r="F36" s="7">
        <f>'Unit Mix &amp; Market Comps'!$B$11*E36</f>
        <v/>
      </c>
      <c r="G36" s="5">
        <f>MAX(0,E36-Inputs!$B$17)</f>
        <v/>
      </c>
      <c r="H36" s="5">
        <f>Inputs!$B$18/12</f>
        <v/>
      </c>
      <c r="I36" s="4">
        <f>'Unit Mix &amp; Market Comps'!$E$11*(1+H36)^(A36-1)</f>
        <v/>
      </c>
      <c r="J36" s="4">
        <f>'Unit Mix &amp; Market Comps'!$B$11*I36*G36</f>
        <v/>
      </c>
      <c r="K36" s="4">
        <f>J36*(Inputs!$B$19+Inputs!$B$20)+Inputs!$B$21</f>
        <v/>
      </c>
      <c r="L36" s="17">
        <f>J36+K36</f>
        <v/>
      </c>
      <c r="M36" s="1" t="n"/>
      <c r="N36" s="1" t="n"/>
    </row>
    <row r="37" ht="18" customHeight="1">
      <c r="A37" s="2" t="n">
        <v>34</v>
      </c>
      <c r="B37" s="8">
        <f>ROUNDUP(A37/12,0)</f>
        <v/>
      </c>
      <c r="C37" s="16">
        <f>E36</f>
        <v/>
      </c>
      <c r="D37" s="5">
        <f>IF(Inputs!$B$16="Linear",MIN(Inputs!$B$14,Inputs!$B$13+(Inputs!$B$14-Inputs!$B$13)*A37/Inputs!$B$15),IF(Inputs!$B$16="S-Curve",Inputs!$B$13+(Inputs!$B$14-Inputs!$B$13)/(1+EXP(-0.25*(A37-Inputs!$B$15/2))),Inputs!$B$13+(Inputs!$B$14-Inputs!$B$13)/(1+EXP(-0.35*(A37-Inputs!$B$15/2)))))</f>
        <v/>
      </c>
      <c r="E37" s="5">
        <f>MIN(Inputs!$B$14,D37)</f>
        <v/>
      </c>
      <c r="F37" s="7">
        <f>'Unit Mix &amp; Market Comps'!$B$11*E37</f>
        <v/>
      </c>
      <c r="G37" s="5">
        <f>MAX(0,E37-Inputs!$B$17)</f>
        <v/>
      </c>
      <c r="H37" s="5">
        <f>Inputs!$B$18/12</f>
        <v/>
      </c>
      <c r="I37" s="4">
        <f>'Unit Mix &amp; Market Comps'!$E$11*(1+H37)^(A37-1)</f>
        <v/>
      </c>
      <c r="J37" s="4">
        <f>'Unit Mix &amp; Market Comps'!$B$11*I37*G37</f>
        <v/>
      </c>
      <c r="K37" s="4">
        <f>J37*(Inputs!$B$19+Inputs!$B$20)+Inputs!$B$21</f>
        <v/>
      </c>
      <c r="L37" s="17">
        <f>J37+K37</f>
        <v/>
      </c>
      <c r="M37" s="1" t="n"/>
      <c r="N37" s="1" t="n"/>
    </row>
    <row r="38" ht="18" customHeight="1">
      <c r="A38" s="2" t="n">
        <v>35</v>
      </c>
      <c r="B38" s="8">
        <f>ROUNDUP(A38/12,0)</f>
        <v/>
      </c>
      <c r="C38" s="16">
        <f>E37</f>
        <v/>
      </c>
      <c r="D38" s="5">
        <f>IF(Inputs!$B$16="Linear",MIN(Inputs!$B$14,Inputs!$B$13+(Inputs!$B$14-Inputs!$B$13)*A38/Inputs!$B$15),IF(Inputs!$B$16="S-Curve",Inputs!$B$13+(Inputs!$B$14-Inputs!$B$13)/(1+EXP(-0.25*(A38-Inputs!$B$15/2))),Inputs!$B$13+(Inputs!$B$14-Inputs!$B$13)/(1+EXP(-0.35*(A38-Inputs!$B$15/2)))))</f>
        <v/>
      </c>
      <c r="E38" s="5">
        <f>MIN(Inputs!$B$14,D38)</f>
        <v/>
      </c>
      <c r="F38" s="7">
        <f>'Unit Mix &amp; Market Comps'!$B$11*E38</f>
        <v/>
      </c>
      <c r="G38" s="5">
        <f>MAX(0,E38-Inputs!$B$17)</f>
        <v/>
      </c>
      <c r="H38" s="5">
        <f>Inputs!$B$18/12</f>
        <v/>
      </c>
      <c r="I38" s="4">
        <f>'Unit Mix &amp; Market Comps'!$E$11*(1+H38)^(A38-1)</f>
        <v/>
      </c>
      <c r="J38" s="4">
        <f>'Unit Mix &amp; Market Comps'!$B$11*I38*G38</f>
        <v/>
      </c>
      <c r="K38" s="4">
        <f>J38*(Inputs!$B$19+Inputs!$B$20)+Inputs!$B$21</f>
        <v/>
      </c>
      <c r="L38" s="17">
        <f>J38+K38</f>
        <v/>
      </c>
      <c r="M38" s="1" t="n"/>
      <c r="N38" s="1" t="n"/>
    </row>
    <row r="39" ht="18" customHeight="1">
      <c r="A39" s="2" t="n">
        <v>36</v>
      </c>
      <c r="B39" s="8">
        <f>ROUNDUP(A39/12,0)</f>
        <v/>
      </c>
      <c r="C39" s="16">
        <f>E38</f>
        <v/>
      </c>
      <c r="D39" s="5">
        <f>IF(Inputs!$B$16="Linear",MIN(Inputs!$B$14,Inputs!$B$13+(Inputs!$B$14-Inputs!$B$13)*A39/Inputs!$B$15),IF(Inputs!$B$16="S-Curve",Inputs!$B$13+(Inputs!$B$14-Inputs!$B$13)/(1+EXP(-0.25*(A39-Inputs!$B$15/2))),Inputs!$B$13+(Inputs!$B$14-Inputs!$B$13)/(1+EXP(-0.35*(A39-Inputs!$B$15/2)))))</f>
        <v/>
      </c>
      <c r="E39" s="5">
        <f>MIN(Inputs!$B$14,D39)</f>
        <v/>
      </c>
      <c r="F39" s="7">
        <f>'Unit Mix &amp; Market Comps'!$B$11*E39</f>
        <v/>
      </c>
      <c r="G39" s="5">
        <f>MAX(0,E39-Inputs!$B$17)</f>
        <v/>
      </c>
      <c r="H39" s="5">
        <f>Inputs!$B$18/12</f>
        <v/>
      </c>
      <c r="I39" s="4">
        <f>'Unit Mix &amp; Market Comps'!$E$11*(1+H39)^(A39-1)</f>
        <v/>
      </c>
      <c r="J39" s="4">
        <f>'Unit Mix &amp; Market Comps'!$B$11*I39*G39</f>
        <v/>
      </c>
      <c r="K39" s="4">
        <f>J39*(Inputs!$B$19+Inputs!$B$20)+Inputs!$B$21</f>
        <v/>
      </c>
      <c r="L39" s="17">
        <f>J39+K39</f>
        <v/>
      </c>
      <c r="M39" s="1" t="n"/>
      <c r="N39" s="1" t="n"/>
    </row>
    <row r="40" ht="18" customHeight="1">
      <c r="A40" s="2" t="n">
        <v>37</v>
      </c>
      <c r="B40" s="8">
        <f>ROUNDUP(A40/12,0)</f>
        <v/>
      </c>
      <c r="C40" s="16">
        <f>E39</f>
        <v/>
      </c>
      <c r="D40" s="5">
        <f>IF(Inputs!$B$16="Linear",MIN(Inputs!$B$14,Inputs!$B$13+(Inputs!$B$14-Inputs!$B$13)*A40/Inputs!$B$15),IF(Inputs!$B$16="S-Curve",Inputs!$B$13+(Inputs!$B$14-Inputs!$B$13)/(1+EXP(-0.25*(A40-Inputs!$B$15/2))),Inputs!$B$13+(Inputs!$B$14-Inputs!$B$13)/(1+EXP(-0.35*(A40-Inputs!$B$15/2)))))</f>
        <v/>
      </c>
      <c r="E40" s="5">
        <f>MIN(Inputs!$B$14,D40)</f>
        <v/>
      </c>
      <c r="F40" s="7">
        <f>'Unit Mix &amp; Market Comps'!$B$11*E40</f>
        <v/>
      </c>
      <c r="G40" s="5">
        <f>MAX(0,E40-Inputs!$B$17)</f>
        <v/>
      </c>
      <c r="H40" s="5">
        <f>Inputs!$B$18/12</f>
        <v/>
      </c>
      <c r="I40" s="4">
        <f>'Unit Mix &amp; Market Comps'!$E$11*(1+H40)^(A40-1)</f>
        <v/>
      </c>
      <c r="J40" s="4">
        <f>'Unit Mix &amp; Market Comps'!$B$11*I40*G40</f>
        <v/>
      </c>
      <c r="K40" s="4">
        <f>J40*(Inputs!$B$19+Inputs!$B$20)+Inputs!$B$21</f>
        <v/>
      </c>
      <c r="L40" s="17">
        <f>J40+K40</f>
        <v/>
      </c>
      <c r="M40" s="1" t="n"/>
      <c r="N40" s="1" t="n"/>
    </row>
    <row r="41" ht="18" customHeight="1">
      <c r="A41" s="2" t="n">
        <v>38</v>
      </c>
      <c r="B41" s="8">
        <f>ROUNDUP(A41/12,0)</f>
        <v/>
      </c>
      <c r="C41" s="16">
        <f>E40</f>
        <v/>
      </c>
      <c r="D41" s="5">
        <f>IF(Inputs!$B$16="Linear",MIN(Inputs!$B$14,Inputs!$B$13+(Inputs!$B$14-Inputs!$B$13)*A41/Inputs!$B$15),IF(Inputs!$B$16="S-Curve",Inputs!$B$13+(Inputs!$B$14-Inputs!$B$13)/(1+EXP(-0.25*(A41-Inputs!$B$15/2))),Inputs!$B$13+(Inputs!$B$14-Inputs!$B$13)/(1+EXP(-0.35*(A41-Inputs!$B$15/2)))))</f>
        <v/>
      </c>
      <c r="E41" s="5">
        <f>MIN(Inputs!$B$14,D41)</f>
        <v/>
      </c>
      <c r="F41" s="7">
        <f>'Unit Mix &amp; Market Comps'!$B$11*E41</f>
        <v/>
      </c>
      <c r="G41" s="5">
        <f>MAX(0,E41-Inputs!$B$17)</f>
        <v/>
      </c>
      <c r="H41" s="5">
        <f>Inputs!$B$18/12</f>
        <v/>
      </c>
      <c r="I41" s="4">
        <f>'Unit Mix &amp; Market Comps'!$E$11*(1+H41)^(A41-1)</f>
        <v/>
      </c>
      <c r="J41" s="4">
        <f>'Unit Mix &amp; Market Comps'!$B$11*I41*G41</f>
        <v/>
      </c>
      <c r="K41" s="4">
        <f>J41*(Inputs!$B$19+Inputs!$B$20)+Inputs!$B$21</f>
        <v/>
      </c>
      <c r="L41" s="17">
        <f>J41+K41</f>
        <v/>
      </c>
      <c r="M41" s="1" t="n"/>
      <c r="N41" s="1" t="n"/>
    </row>
    <row r="42" ht="18" customHeight="1">
      <c r="A42" s="2" t="n">
        <v>39</v>
      </c>
      <c r="B42" s="8">
        <f>ROUNDUP(A42/12,0)</f>
        <v/>
      </c>
      <c r="C42" s="16">
        <f>E41</f>
        <v/>
      </c>
      <c r="D42" s="5">
        <f>IF(Inputs!$B$16="Linear",MIN(Inputs!$B$14,Inputs!$B$13+(Inputs!$B$14-Inputs!$B$13)*A42/Inputs!$B$15),IF(Inputs!$B$16="S-Curve",Inputs!$B$13+(Inputs!$B$14-Inputs!$B$13)/(1+EXP(-0.25*(A42-Inputs!$B$15/2))),Inputs!$B$13+(Inputs!$B$14-Inputs!$B$13)/(1+EXP(-0.35*(A42-Inputs!$B$15/2)))))</f>
        <v/>
      </c>
      <c r="E42" s="5">
        <f>MIN(Inputs!$B$14,D42)</f>
        <v/>
      </c>
      <c r="F42" s="7">
        <f>'Unit Mix &amp; Market Comps'!$B$11*E42</f>
        <v/>
      </c>
      <c r="G42" s="5">
        <f>MAX(0,E42-Inputs!$B$17)</f>
        <v/>
      </c>
      <c r="H42" s="5">
        <f>Inputs!$B$18/12</f>
        <v/>
      </c>
      <c r="I42" s="4">
        <f>'Unit Mix &amp; Market Comps'!$E$11*(1+H42)^(A42-1)</f>
        <v/>
      </c>
      <c r="J42" s="4">
        <f>'Unit Mix &amp; Market Comps'!$B$11*I42*G42</f>
        <v/>
      </c>
      <c r="K42" s="4">
        <f>J42*(Inputs!$B$19+Inputs!$B$20)+Inputs!$B$21</f>
        <v/>
      </c>
      <c r="L42" s="17">
        <f>J42+K42</f>
        <v/>
      </c>
      <c r="M42" s="1" t="n"/>
      <c r="N42" s="1" t="n"/>
    </row>
    <row r="43" ht="18" customHeight="1">
      <c r="A43" s="2" t="n">
        <v>40</v>
      </c>
      <c r="B43" s="8">
        <f>ROUNDUP(A43/12,0)</f>
        <v/>
      </c>
      <c r="C43" s="16">
        <f>E42</f>
        <v/>
      </c>
      <c r="D43" s="5">
        <f>IF(Inputs!$B$16="Linear",MIN(Inputs!$B$14,Inputs!$B$13+(Inputs!$B$14-Inputs!$B$13)*A43/Inputs!$B$15),IF(Inputs!$B$16="S-Curve",Inputs!$B$13+(Inputs!$B$14-Inputs!$B$13)/(1+EXP(-0.25*(A43-Inputs!$B$15/2))),Inputs!$B$13+(Inputs!$B$14-Inputs!$B$13)/(1+EXP(-0.35*(A43-Inputs!$B$15/2)))))</f>
        <v/>
      </c>
      <c r="E43" s="5">
        <f>MIN(Inputs!$B$14,D43)</f>
        <v/>
      </c>
      <c r="F43" s="7">
        <f>'Unit Mix &amp; Market Comps'!$B$11*E43</f>
        <v/>
      </c>
      <c r="G43" s="5">
        <f>MAX(0,E43-Inputs!$B$17)</f>
        <v/>
      </c>
      <c r="H43" s="5">
        <f>Inputs!$B$18/12</f>
        <v/>
      </c>
      <c r="I43" s="4">
        <f>'Unit Mix &amp; Market Comps'!$E$11*(1+H43)^(A43-1)</f>
        <v/>
      </c>
      <c r="J43" s="4">
        <f>'Unit Mix &amp; Market Comps'!$B$11*I43*G43</f>
        <v/>
      </c>
      <c r="K43" s="4">
        <f>J43*(Inputs!$B$19+Inputs!$B$20)+Inputs!$B$21</f>
        <v/>
      </c>
      <c r="L43" s="17">
        <f>J43+K43</f>
        <v/>
      </c>
      <c r="M43" s="1" t="n"/>
      <c r="N43" s="1" t="n"/>
    </row>
    <row r="44" ht="18" customHeight="1">
      <c r="A44" s="2" t="n">
        <v>41</v>
      </c>
      <c r="B44" s="8">
        <f>ROUNDUP(A44/12,0)</f>
        <v/>
      </c>
      <c r="C44" s="16">
        <f>E43</f>
        <v/>
      </c>
      <c r="D44" s="5">
        <f>IF(Inputs!$B$16="Linear",MIN(Inputs!$B$14,Inputs!$B$13+(Inputs!$B$14-Inputs!$B$13)*A44/Inputs!$B$15),IF(Inputs!$B$16="S-Curve",Inputs!$B$13+(Inputs!$B$14-Inputs!$B$13)/(1+EXP(-0.25*(A44-Inputs!$B$15/2))),Inputs!$B$13+(Inputs!$B$14-Inputs!$B$13)/(1+EXP(-0.35*(A44-Inputs!$B$15/2)))))</f>
        <v/>
      </c>
      <c r="E44" s="5">
        <f>MIN(Inputs!$B$14,D44)</f>
        <v/>
      </c>
      <c r="F44" s="7">
        <f>'Unit Mix &amp; Market Comps'!$B$11*E44</f>
        <v/>
      </c>
      <c r="G44" s="5">
        <f>MAX(0,E44-Inputs!$B$17)</f>
        <v/>
      </c>
      <c r="H44" s="5">
        <f>Inputs!$B$18/12</f>
        <v/>
      </c>
      <c r="I44" s="4">
        <f>'Unit Mix &amp; Market Comps'!$E$11*(1+H44)^(A44-1)</f>
        <v/>
      </c>
      <c r="J44" s="4">
        <f>'Unit Mix &amp; Market Comps'!$B$11*I44*G44</f>
        <v/>
      </c>
      <c r="K44" s="4">
        <f>J44*(Inputs!$B$19+Inputs!$B$20)+Inputs!$B$21</f>
        <v/>
      </c>
      <c r="L44" s="17">
        <f>J44+K44</f>
        <v/>
      </c>
      <c r="M44" s="1" t="n"/>
      <c r="N44" s="1" t="n"/>
    </row>
    <row r="45" ht="18" customHeight="1">
      <c r="A45" s="2" t="n">
        <v>42</v>
      </c>
      <c r="B45" s="8">
        <f>ROUNDUP(A45/12,0)</f>
        <v/>
      </c>
      <c r="C45" s="16">
        <f>E44</f>
        <v/>
      </c>
      <c r="D45" s="5">
        <f>IF(Inputs!$B$16="Linear",MIN(Inputs!$B$14,Inputs!$B$13+(Inputs!$B$14-Inputs!$B$13)*A45/Inputs!$B$15),IF(Inputs!$B$16="S-Curve",Inputs!$B$13+(Inputs!$B$14-Inputs!$B$13)/(1+EXP(-0.25*(A45-Inputs!$B$15/2))),Inputs!$B$13+(Inputs!$B$14-Inputs!$B$13)/(1+EXP(-0.35*(A45-Inputs!$B$15/2)))))</f>
        <v/>
      </c>
      <c r="E45" s="5">
        <f>MIN(Inputs!$B$14,D45)</f>
        <v/>
      </c>
      <c r="F45" s="7">
        <f>'Unit Mix &amp; Market Comps'!$B$11*E45</f>
        <v/>
      </c>
      <c r="G45" s="5">
        <f>MAX(0,E45-Inputs!$B$17)</f>
        <v/>
      </c>
      <c r="H45" s="5">
        <f>Inputs!$B$18/12</f>
        <v/>
      </c>
      <c r="I45" s="4">
        <f>'Unit Mix &amp; Market Comps'!$E$11*(1+H45)^(A45-1)</f>
        <v/>
      </c>
      <c r="J45" s="4">
        <f>'Unit Mix &amp; Market Comps'!$B$11*I45*G45</f>
        <v/>
      </c>
      <c r="K45" s="4">
        <f>J45*(Inputs!$B$19+Inputs!$B$20)+Inputs!$B$21</f>
        <v/>
      </c>
      <c r="L45" s="17">
        <f>J45+K45</f>
        <v/>
      </c>
      <c r="M45" s="1" t="n"/>
      <c r="N45" s="1" t="n"/>
    </row>
    <row r="46" ht="18" customHeight="1">
      <c r="A46" s="2" t="n">
        <v>43</v>
      </c>
      <c r="B46" s="8">
        <f>ROUNDUP(A46/12,0)</f>
        <v/>
      </c>
      <c r="C46" s="16">
        <f>E45</f>
        <v/>
      </c>
      <c r="D46" s="5">
        <f>IF(Inputs!$B$16="Linear",MIN(Inputs!$B$14,Inputs!$B$13+(Inputs!$B$14-Inputs!$B$13)*A46/Inputs!$B$15),IF(Inputs!$B$16="S-Curve",Inputs!$B$13+(Inputs!$B$14-Inputs!$B$13)/(1+EXP(-0.25*(A46-Inputs!$B$15/2))),Inputs!$B$13+(Inputs!$B$14-Inputs!$B$13)/(1+EXP(-0.35*(A46-Inputs!$B$15/2)))))</f>
        <v/>
      </c>
      <c r="E46" s="5">
        <f>MIN(Inputs!$B$14,D46)</f>
        <v/>
      </c>
      <c r="F46" s="7">
        <f>'Unit Mix &amp; Market Comps'!$B$11*E46</f>
        <v/>
      </c>
      <c r="G46" s="5">
        <f>MAX(0,E46-Inputs!$B$17)</f>
        <v/>
      </c>
      <c r="H46" s="5">
        <f>Inputs!$B$18/12</f>
        <v/>
      </c>
      <c r="I46" s="4">
        <f>'Unit Mix &amp; Market Comps'!$E$11*(1+H46)^(A46-1)</f>
        <v/>
      </c>
      <c r="J46" s="4">
        <f>'Unit Mix &amp; Market Comps'!$B$11*I46*G46</f>
        <v/>
      </c>
      <c r="K46" s="4">
        <f>J46*(Inputs!$B$19+Inputs!$B$20)+Inputs!$B$21</f>
        <v/>
      </c>
      <c r="L46" s="17">
        <f>J46+K46</f>
        <v/>
      </c>
      <c r="M46" s="1" t="n"/>
      <c r="N46" s="1" t="n"/>
    </row>
    <row r="47" ht="18" customHeight="1">
      <c r="A47" s="2" t="n">
        <v>44</v>
      </c>
      <c r="B47" s="8">
        <f>ROUNDUP(A47/12,0)</f>
        <v/>
      </c>
      <c r="C47" s="16">
        <f>E46</f>
        <v/>
      </c>
      <c r="D47" s="5">
        <f>IF(Inputs!$B$16="Linear",MIN(Inputs!$B$14,Inputs!$B$13+(Inputs!$B$14-Inputs!$B$13)*A47/Inputs!$B$15),IF(Inputs!$B$16="S-Curve",Inputs!$B$13+(Inputs!$B$14-Inputs!$B$13)/(1+EXP(-0.25*(A47-Inputs!$B$15/2))),Inputs!$B$13+(Inputs!$B$14-Inputs!$B$13)/(1+EXP(-0.35*(A47-Inputs!$B$15/2)))))</f>
        <v/>
      </c>
      <c r="E47" s="5">
        <f>MIN(Inputs!$B$14,D47)</f>
        <v/>
      </c>
      <c r="F47" s="7">
        <f>'Unit Mix &amp; Market Comps'!$B$11*E47</f>
        <v/>
      </c>
      <c r="G47" s="5">
        <f>MAX(0,E47-Inputs!$B$17)</f>
        <v/>
      </c>
      <c r="H47" s="5">
        <f>Inputs!$B$18/12</f>
        <v/>
      </c>
      <c r="I47" s="4">
        <f>'Unit Mix &amp; Market Comps'!$E$11*(1+H47)^(A47-1)</f>
        <v/>
      </c>
      <c r="J47" s="4">
        <f>'Unit Mix &amp; Market Comps'!$B$11*I47*G47</f>
        <v/>
      </c>
      <c r="K47" s="4">
        <f>J47*(Inputs!$B$19+Inputs!$B$20)+Inputs!$B$21</f>
        <v/>
      </c>
      <c r="L47" s="17">
        <f>J47+K47</f>
        <v/>
      </c>
      <c r="M47" s="1" t="n"/>
      <c r="N47" s="1" t="n"/>
    </row>
    <row r="48" ht="18" customHeight="1">
      <c r="A48" s="2" t="n">
        <v>45</v>
      </c>
      <c r="B48" s="8">
        <f>ROUNDUP(A48/12,0)</f>
        <v/>
      </c>
      <c r="C48" s="16">
        <f>E47</f>
        <v/>
      </c>
      <c r="D48" s="5">
        <f>IF(Inputs!$B$16="Linear",MIN(Inputs!$B$14,Inputs!$B$13+(Inputs!$B$14-Inputs!$B$13)*A48/Inputs!$B$15),IF(Inputs!$B$16="S-Curve",Inputs!$B$13+(Inputs!$B$14-Inputs!$B$13)/(1+EXP(-0.25*(A48-Inputs!$B$15/2))),Inputs!$B$13+(Inputs!$B$14-Inputs!$B$13)/(1+EXP(-0.35*(A48-Inputs!$B$15/2)))))</f>
        <v/>
      </c>
      <c r="E48" s="5">
        <f>MIN(Inputs!$B$14,D48)</f>
        <v/>
      </c>
      <c r="F48" s="7">
        <f>'Unit Mix &amp; Market Comps'!$B$11*E48</f>
        <v/>
      </c>
      <c r="G48" s="5">
        <f>MAX(0,E48-Inputs!$B$17)</f>
        <v/>
      </c>
      <c r="H48" s="5">
        <f>Inputs!$B$18/12</f>
        <v/>
      </c>
      <c r="I48" s="4">
        <f>'Unit Mix &amp; Market Comps'!$E$11*(1+H48)^(A48-1)</f>
        <v/>
      </c>
      <c r="J48" s="4">
        <f>'Unit Mix &amp; Market Comps'!$B$11*I48*G48</f>
        <v/>
      </c>
      <c r="K48" s="4">
        <f>J48*(Inputs!$B$19+Inputs!$B$20)+Inputs!$B$21</f>
        <v/>
      </c>
      <c r="L48" s="17">
        <f>J48+K48</f>
        <v/>
      </c>
      <c r="M48" s="1" t="n"/>
      <c r="N48" s="1" t="n"/>
    </row>
    <row r="49" ht="18" customHeight="1">
      <c r="A49" s="2" t="n">
        <v>46</v>
      </c>
      <c r="B49" s="8">
        <f>ROUNDUP(A49/12,0)</f>
        <v/>
      </c>
      <c r="C49" s="16">
        <f>E48</f>
        <v/>
      </c>
      <c r="D49" s="5">
        <f>IF(Inputs!$B$16="Linear",MIN(Inputs!$B$14,Inputs!$B$13+(Inputs!$B$14-Inputs!$B$13)*A49/Inputs!$B$15),IF(Inputs!$B$16="S-Curve",Inputs!$B$13+(Inputs!$B$14-Inputs!$B$13)/(1+EXP(-0.25*(A49-Inputs!$B$15/2))),Inputs!$B$13+(Inputs!$B$14-Inputs!$B$13)/(1+EXP(-0.35*(A49-Inputs!$B$15/2)))))</f>
        <v/>
      </c>
      <c r="E49" s="5">
        <f>MIN(Inputs!$B$14,D49)</f>
        <v/>
      </c>
      <c r="F49" s="7">
        <f>'Unit Mix &amp; Market Comps'!$B$11*E49</f>
        <v/>
      </c>
      <c r="G49" s="5">
        <f>MAX(0,E49-Inputs!$B$17)</f>
        <v/>
      </c>
      <c r="H49" s="5">
        <f>Inputs!$B$18/12</f>
        <v/>
      </c>
      <c r="I49" s="4">
        <f>'Unit Mix &amp; Market Comps'!$E$11*(1+H49)^(A49-1)</f>
        <v/>
      </c>
      <c r="J49" s="4">
        <f>'Unit Mix &amp; Market Comps'!$B$11*I49*G49</f>
        <v/>
      </c>
      <c r="K49" s="4">
        <f>J49*(Inputs!$B$19+Inputs!$B$20)+Inputs!$B$21</f>
        <v/>
      </c>
      <c r="L49" s="17">
        <f>J49+K49</f>
        <v/>
      </c>
      <c r="M49" s="1" t="n"/>
      <c r="N49" s="1" t="n"/>
    </row>
    <row r="50" ht="18" customHeight="1">
      <c r="A50" s="2" t="n">
        <v>47</v>
      </c>
      <c r="B50" s="8">
        <f>ROUNDUP(A50/12,0)</f>
        <v/>
      </c>
      <c r="C50" s="16">
        <f>E49</f>
        <v/>
      </c>
      <c r="D50" s="5">
        <f>IF(Inputs!$B$16="Linear",MIN(Inputs!$B$14,Inputs!$B$13+(Inputs!$B$14-Inputs!$B$13)*A50/Inputs!$B$15),IF(Inputs!$B$16="S-Curve",Inputs!$B$13+(Inputs!$B$14-Inputs!$B$13)/(1+EXP(-0.25*(A50-Inputs!$B$15/2))),Inputs!$B$13+(Inputs!$B$14-Inputs!$B$13)/(1+EXP(-0.35*(A50-Inputs!$B$15/2)))))</f>
        <v/>
      </c>
      <c r="E50" s="5">
        <f>MIN(Inputs!$B$14,D50)</f>
        <v/>
      </c>
      <c r="F50" s="7">
        <f>'Unit Mix &amp; Market Comps'!$B$11*E50</f>
        <v/>
      </c>
      <c r="G50" s="5">
        <f>MAX(0,E50-Inputs!$B$17)</f>
        <v/>
      </c>
      <c r="H50" s="5">
        <f>Inputs!$B$18/12</f>
        <v/>
      </c>
      <c r="I50" s="4">
        <f>'Unit Mix &amp; Market Comps'!$E$11*(1+H50)^(A50-1)</f>
        <v/>
      </c>
      <c r="J50" s="4">
        <f>'Unit Mix &amp; Market Comps'!$B$11*I50*G50</f>
        <v/>
      </c>
      <c r="K50" s="4">
        <f>J50*(Inputs!$B$19+Inputs!$B$20)+Inputs!$B$21</f>
        <v/>
      </c>
      <c r="L50" s="17">
        <f>J50+K50</f>
        <v/>
      </c>
      <c r="M50" s="1" t="n"/>
      <c r="N50" s="1" t="n"/>
    </row>
    <row r="51" ht="18" customHeight="1">
      <c r="A51" s="2" t="n">
        <v>48</v>
      </c>
      <c r="B51" s="8">
        <f>ROUNDUP(A51/12,0)</f>
        <v/>
      </c>
      <c r="C51" s="16">
        <f>E50</f>
        <v/>
      </c>
      <c r="D51" s="5">
        <f>IF(Inputs!$B$16="Linear",MIN(Inputs!$B$14,Inputs!$B$13+(Inputs!$B$14-Inputs!$B$13)*A51/Inputs!$B$15),IF(Inputs!$B$16="S-Curve",Inputs!$B$13+(Inputs!$B$14-Inputs!$B$13)/(1+EXP(-0.25*(A51-Inputs!$B$15/2))),Inputs!$B$13+(Inputs!$B$14-Inputs!$B$13)/(1+EXP(-0.35*(A51-Inputs!$B$15/2)))))</f>
        <v/>
      </c>
      <c r="E51" s="5">
        <f>MIN(Inputs!$B$14,D51)</f>
        <v/>
      </c>
      <c r="F51" s="7">
        <f>'Unit Mix &amp; Market Comps'!$B$11*E51</f>
        <v/>
      </c>
      <c r="G51" s="5">
        <f>MAX(0,E51-Inputs!$B$17)</f>
        <v/>
      </c>
      <c r="H51" s="5">
        <f>Inputs!$B$18/12</f>
        <v/>
      </c>
      <c r="I51" s="4">
        <f>'Unit Mix &amp; Market Comps'!$E$11*(1+H51)^(A51-1)</f>
        <v/>
      </c>
      <c r="J51" s="4">
        <f>'Unit Mix &amp; Market Comps'!$B$11*I51*G51</f>
        <v/>
      </c>
      <c r="K51" s="4">
        <f>J51*(Inputs!$B$19+Inputs!$B$20)+Inputs!$B$21</f>
        <v/>
      </c>
      <c r="L51" s="17">
        <f>J51+K51</f>
        <v/>
      </c>
      <c r="M51" s="1" t="n"/>
      <c r="N51" s="1" t="n"/>
    </row>
    <row r="52" ht="18" customHeight="1">
      <c r="A52" s="2" t="n">
        <v>49</v>
      </c>
      <c r="B52" s="8">
        <f>ROUNDUP(A52/12,0)</f>
        <v/>
      </c>
      <c r="C52" s="16">
        <f>E51</f>
        <v/>
      </c>
      <c r="D52" s="5">
        <f>IF(Inputs!$B$16="Linear",MIN(Inputs!$B$14,Inputs!$B$13+(Inputs!$B$14-Inputs!$B$13)*A52/Inputs!$B$15),IF(Inputs!$B$16="S-Curve",Inputs!$B$13+(Inputs!$B$14-Inputs!$B$13)/(1+EXP(-0.25*(A52-Inputs!$B$15/2))),Inputs!$B$13+(Inputs!$B$14-Inputs!$B$13)/(1+EXP(-0.35*(A52-Inputs!$B$15/2)))))</f>
        <v/>
      </c>
      <c r="E52" s="5">
        <f>MIN(Inputs!$B$14,D52)</f>
        <v/>
      </c>
      <c r="F52" s="7">
        <f>'Unit Mix &amp; Market Comps'!$B$11*E52</f>
        <v/>
      </c>
      <c r="G52" s="5">
        <f>MAX(0,E52-Inputs!$B$17)</f>
        <v/>
      </c>
      <c r="H52" s="5">
        <f>Inputs!$B$18/12</f>
        <v/>
      </c>
      <c r="I52" s="4">
        <f>'Unit Mix &amp; Market Comps'!$E$11*(1+H52)^(A52-1)</f>
        <v/>
      </c>
      <c r="J52" s="4">
        <f>'Unit Mix &amp; Market Comps'!$B$11*I52*G52</f>
        <v/>
      </c>
      <c r="K52" s="4">
        <f>J52*(Inputs!$B$19+Inputs!$B$20)+Inputs!$B$21</f>
        <v/>
      </c>
      <c r="L52" s="17">
        <f>J52+K52</f>
        <v/>
      </c>
      <c r="M52" s="1" t="n"/>
      <c r="N52" s="1" t="n"/>
    </row>
    <row r="53" ht="18" customHeight="1">
      <c r="A53" s="2" t="n">
        <v>50</v>
      </c>
      <c r="B53" s="8">
        <f>ROUNDUP(A53/12,0)</f>
        <v/>
      </c>
      <c r="C53" s="16">
        <f>E52</f>
        <v/>
      </c>
      <c r="D53" s="5">
        <f>IF(Inputs!$B$16="Linear",MIN(Inputs!$B$14,Inputs!$B$13+(Inputs!$B$14-Inputs!$B$13)*A53/Inputs!$B$15),IF(Inputs!$B$16="S-Curve",Inputs!$B$13+(Inputs!$B$14-Inputs!$B$13)/(1+EXP(-0.25*(A53-Inputs!$B$15/2))),Inputs!$B$13+(Inputs!$B$14-Inputs!$B$13)/(1+EXP(-0.35*(A53-Inputs!$B$15/2)))))</f>
        <v/>
      </c>
      <c r="E53" s="5">
        <f>MIN(Inputs!$B$14,D53)</f>
        <v/>
      </c>
      <c r="F53" s="7">
        <f>'Unit Mix &amp; Market Comps'!$B$11*E53</f>
        <v/>
      </c>
      <c r="G53" s="5">
        <f>MAX(0,E53-Inputs!$B$17)</f>
        <v/>
      </c>
      <c r="H53" s="5">
        <f>Inputs!$B$18/12</f>
        <v/>
      </c>
      <c r="I53" s="4">
        <f>'Unit Mix &amp; Market Comps'!$E$11*(1+H53)^(A53-1)</f>
        <v/>
      </c>
      <c r="J53" s="4">
        <f>'Unit Mix &amp; Market Comps'!$B$11*I53*G53</f>
        <v/>
      </c>
      <c r="K53" s="4">
        <f>J53*(Inputs!$B$19+Inputs!$B$20)+Inputs!$B$21</f>
        <v/>
      </c>
      <c r="L53" s="17">
        <f>J53+K53</f>
        <v/>
      </c>
      <c r="M53" s="1" t="n"/>
      <c r="N53" s="1" t="n"/>
    </row>
    <row r="54" ht="18" customHeight="1">
      <c r="A54" s="2" t="n">
        <v>51</v>
      </c>
      <c r="B54" s="8">
        <f>ROUNDUP(A54/12,0)</f>
        <v/>
      </c>
      <c r="C54" s="16">
        <f>E53</f>
        <v/>
      </c>
      <c r="D54" s="5">
        <f>IF(Inputs!$B$16="Linear",MIN(Inputs!$B$14,Inputs!$B$13+(Inputs!$B$14-Inputs!$B$13)*A54/Inputs!$B$15),IF(Inputs!$B$16="S-Curve",Inputs!$B$13+(Inputs!$B$14-Inputs!$B$13)/(1+EXP(-0.25*(A54-Inputs!$B$15/2))),Inputs!$B$13+(Inputs!$B$14-Inputs!$B$13)/(1+EXP(-0.35*(A54-Inputs!$B$15/2)))))</f>
        <v/>
      </c>
      <c r="E54" s="5">
        <f>MIN(Inputs!$B$14,D54)</f>
        <v/>
      </c>
      <c r="F54" s="7">
        <f>'Unit Mix &amp; Market Comps'!$B$11*E54</f>
        <v/>
      </c>
      <c r="G54" s="5">
        <f>MAX(0,E54-Inputs!$B$17)</f>
        <v/>
      </c>
      <c r="H54" s="5">
        <f>Inputs!$B$18/12</f>
        <v/>
      </c>
      <c r="I54" s="4">
        <f>'Unit Mix &amp; Market Comps'!$E$11*(1+H54)^(A54-1)</f>
        <v/>
      </c>
      <c r="J54" s="4">
        <f>'Unit Mix &amp; Market Comps'!$B$11*I54*G54</f>
        <v/>
      </c>
      <c r="K54" s="4">
        <f>J54*(Inputs!$B$19+Inputs!$B$20)+Inputs!$B$21</f>
        <v/>
      </c>
      <c r="L54" s="17">
        <f>J54+K54</f>
        <v/>
      </c>
      <c r="M54" s="1" t="n"/>
      <c r="N54" s="1" t="n"/>
    </row>
    <row r="55" ht="18" customHeight="1">
      <c r="A55" s="2" t="n">
        <v>52</v>
      </c>
      <c r="B55" s="8">
        <f>ROUNDUP(A55/12,0)</f>
        <v/>
      </c>
      <c r="C55" s="16">
        <f>E54</f>
        <v/>
      </c>
      <c r="D55" s="5">
        <f>IF(Inputs!$B$16="Linear",MIN(Inputs!$B$14,Inputs!$B$13+(Inputs!$B$14-Inputs!$B$13)*A55/Inputs!$B$15),IF(Inputs!$B$16="S-Curve",Inputs!$B$13+(Inputs!$B$14-Inputs!$B$13)/(1+EXP(-0.25*(A55-Inputs!$B$15/2))),Inputs!$B$13+(Inputs!$B$14-Inputs!$B$13)/(1+EXP(-0.35*(A55-Inputs!$B$15/2)))))</f>
        <v/>
      </c>
      <c r="E55" s="5">
        <f>MIN(Inputs!$B$14,D55)</f>
        <v/>
      </c>
      <c r="F55" s="7">
        <f>'Unit Mix &amp; Market Comps'!$B$11*E55</f>
        <v/>
      </c>
      <c r="G55" s="5">
        <f>MAX(0,E55-Inputs!$B$17)</f>
        <v/>
      </c>
      <c r="H55" s="5">
        <f>Inputs!$B$18/12</f>
        <v/>
      </c>
      <c r="I55" s="4">
        <f>'Unit Mix &amp; Market Comps'!$E$11*(1+H55)^(A55-1)</f>
        <v/>
      </c>
      <c r="J55" s="4">
        <f>'Unit Mix &amp; Market Comps'!$B$11*I55*G55</f>
        <v/>
      </c>
      <c r="K55" s="4">
        <f>J55*(Inputs!$B$19+Inputs!$B$20)+Inputs!$B$21</f>
        <v/>
      </c>
      <c r="L55" s="17">
        <f>J55+K55</f>
        <v/>
      </c>
      <c r="M55" s="1" t="n"/>
      <c r="N55" s="1" t="n"/>
    </row>
    <row r="56" ht="18" customHeight="1">
      <c r="A56" s="2" t="n">
        <v>53</v>
      </c>
      <c r="B56" s="8">
        <f>ROUNDUP(A56/12,0)</f>
        <v/>
      </c>
      <c r="C56" s="16">
        <f>E55</f>
        <v/>
      </c>
      <c r="D56" s="5">
        <f>IF(Inputs!$B$16="Linear",MIN(Inputs!$B$14,Inputs!$B$13+(Inputs!$B$14-Inputs!$B$13)*A56/Inputs!$B$15),IF(Inputs!$B$16="S-Curve",Inputs!$B$13+(Inputs!$B$14-Inputs!$B$13)/(1+EXP(-0.25*(A56-Inputs!$B$15/2))),Inputs!$B$13+(Inputs!$B$14-Inputs!$B$13)/(1+EXP(-0.35*(A56-Inputs!$B$15/2)))))</f>
        <v/>
      </c>
      <c r="E56" s="5">
        <f>MIN(Inputs!$B$14,D56)</f>
        <v/>
      </c>
      <c r="F56" s="7">
        <f>'Unit Mix &amp; Market Comps'!$B$11*E56</f>
        <v/>
      </c>
      <c r="G56" s="5">
        <f>MAX(0,E56-Inputs!$B$17)</f>
        <v/>
      </c>
      <c r="H56" s="5">
        <f>Inputs!$B$18/12</f>
        <v/>
      </c>
      <c r="I56" s="4">
        <f>'Unit Mix &amp; Market Comps'!$E$11*(1+H56)^(A56-1)</f>
        <v/>
      </c>
      <c r="J56" s="4">
        <f>'Unit Mix &amp; Market Comps'!$B$11*I56*G56</f>
        <v/>
      </c>
      <c r="K56" s="4">
        <f>J56*(Inputs!$B$19+Inputs!$B$20)+Inputs!$B$21</f>
        <v/>
      </c>
      <c r="L56" s="17">
        <f>J56+K56</f>
        <v/>
      </c>
      <c r="M56" s="1" t="n"/>
      <c r="N56" s="1" t="n"/>
    </row>
    <row r="57" ht="18" customHeight="1">
      <c r="A57" s="2" t="n">
        <v>54</v>
      </c>
      <c r="B57" s="8">
        <f>ROUNDUP(A57/12,0)</f>
        <v/>
      </c>
      <c r="C57" s="16">
        <f>E56</f>
        <v/>
      </c>
      <c r="D57" s="5">
        <f>IF(Inputs!$B$16="Linear",MIN(Inputs!$B$14,Inputs!$B$13+(Inputs!$B$14-Inputs!$B$13)*A57/Inputs!$B$15),IF(Inputs!$B$16="S-Curve",Inputs!$B$13+(Inputs!$B$14-Inputs!$B$13)/(1+EXP(-0.25*(A57-Inputs!$B$15/2))),Inputs!$B$13+(Inputs!$B$14-Inputs!$B$13)/(1+EXP(-0.35*(A57-Inputs!$B$15/2)))))</f>
        <v/>
      </c>
      <c r="E57" s="5">
        <f>MIN(Inputs!$B$14,D57)</f>
        <v/>
      </c>
      <c r="F57" s="7">
        <f>'Unit Mix &amp; Market Comps'!$B$11*E57</f>
        <v/>
      </c>
      <c r="G57" s="5">
        <f>MAX(0,E57-Inputs!$B$17)</f>
        <v/>
      </c>
      <c r="H57" s="5">
        <f>Inputs!$B$18/12</f>
        <v/>
      </c>
      <c r="I57" s="4">
        <f>'Unit Mix &amp; Market Comps'!$E$11*(1+H57)^(A57-1)</f>
        <v/>
      </c>
      <c r="J57" s="4">
        <f>'Unit Mix &amp; Market Comps'!$B$11*I57*G57</f>
        <v/>
      </c>
      <c r="K57" s="4">
        <f>J57*(Inputs!$B$19+Inputs!$B$20)+Inputs!$B$21</f>
        <v/>
      </c>
      <c r="L57" s="17">
        <f>J57+K57</f>
        <v/>
      </c>
      <c r="M57" s="1" t="n"/>
      <c r="N57" s="1" t="n"/>
    </row>
    <row r="58" ht="18" customHeight="1">
      <c r="A58" s="2" t="n">
        <v>55</v>
      </c>
      <c r="B58" s="8">
        <f>ROUNDUP(A58/12,0)</f>
        <v/>
      </c>
      <c r="C58" s="16">
        <f>E57</f>
        <v/>
      </c>
      <c r="D58" s="5">
        <f>IF(Inputs!$B$16="Linear",MIN(Inputs!$B$14,Inputs!$B$13+(Inputs!$B$14-Inputs!$B$13)*A58/Inputs!$B$15),IF(Inputs!$B$16="S-Curve",Inputs!$B$13+(Inputs!$B$14-Inputs!$B$13)/(1+EXP(-0.25*(A58-Inputs!$B$15/2))),Inputs!$B$13+(Inputs!$B$14-Inputs!$B$13)/(1+EXP(-0.35*(A58-Inputs!$B$15/2)))))</f>
        <v/>
      </c>
      <c r="E58" s="5">
        <f>MIN(Inputs!$B$14,D58)</f>
        <v/>
      </c>
      <c r="F58" s="7">
        <f>'Unit Mix &amp; Market Comps'!$B$11*E58</f>
        <v/>
      </c>
      <c r="G58" s="5">
        <f>MAX(0,E58-Inputs!$B$17)</f>
        <v/>
      </c>
      <c r="H58" s="5">
        <f>Inputs!$B$18/12</f>
        <v/>
      </c>
      <c r="I58" s="4">
        <f>'Unit Mix &amp; Market Comps'!$E$11*(1+H58)^(A58-1)</f>
        <v/>
      </c>
      <c r="J58" s="4">
        <f>'Unit Mix &amp; Market Comps'!$B$11*I58*G58</f>
        <v/>
      </c>
      <c r="K58" s="4">
        <f>J58*(Inputs!$B$19+Inputs!$B$20)+Inputs!$B$21</f>
        <v/>
      </c>
      <c r="L58" s="17">
        <f>J58+K58</f>
        <v/>
      </c>
      <c r="M58" s="1" t="n"/>
      <c r="N58" s="1" t="n"/>
    </row>
    <row r="59" ht="18" customHeight="1">
      <c r="A59" s="2" t="n">
        <v>56</v>
      </c>
      <c r="B59" s="8">
        <f>ROUNDUP(A59/12,0)</f>
        <v/>
      </c>
      <c r="C59" s="16">
        <f>E58</f>
        <v/>
      </c>
      <c r="D59" s="5">
        <f>IF(Inputs!$B$16="Linear",MIN(Inputs!$B$14,Inputs!$B$13+(Inputs!$B$14-Inputs!$B$13)*A59/Inputs!$B$15),IF(Inputs!$B$16="S-Curve",Inputs!$B$13+(Inputs!$B$14-Inputs!$B$13)/(1+EXP(-0.25*(A59-Inputs!$B$15/2))),Inputs!$B$13+(Inputs!$B$14-Inputs!$B$13)/(1+EXP(-0.35*(A59-Inputs!$B$15/2)))))</f>
        <v/>
      </c>
      <c r="E59" s="5">
        <f>MIN(Inputs!$B$14,D59)</f>
        <v/>
      </c>
      <c r="F59" s="7">
        <f>'Unit Mix &amp; Market Comps'!$B$11*E59</f>
        <v/>
      </c>
      <c r="G59" s="5">
        <f>MAX(0,E59-Inputs!$B$17)</f>
        <v/>
      </c>
      <c r="H59" s="5">
        <f>Inputs!$B$18/12</f>
        <v/>
      </c>
      <c r="I59" s="4">
        <f>'Unit Mix &amp; Market Comps'!$E$11*(1+H59)^(A59-1)</f>
        <v/>
      </c>
      <c r="J59" s="4">
        <f>'Unit Mix &amp; Market Comps'!$B$11*I59*G59</f>
        <v/>
      </c>
      <c r="K59" s="4">
        <f>J59*(Inputs!$B$19+Inputs!$B$20)+Inputs!$B$21</f>
        <v/>
      </c>
      <c r="L59" s="17">
        <f>J59+K59</f>
        <v/>
      </c>
      <c r="M59" s="1" t="n"/>
      <c r="N59" s="1" t="n"/>
    </row>
    <row r="60" ht="18" customHeight="1">
      <c r="A60" s="2" t="n">
        <v>57</v>
      </c>
      <c r="B60" s="8">
        <f>ROUNDUP(A60/12,0)</f>
        <v/>
      </c>
      <c r="C60" s="16">
        <f>E59</f>
        <v/>
      </c>
      <c r="D60" s="5">
        <f>IF(Inputs!$B$16="Linear",MIN(Inputs!$B$14,Inputs!$B$13+(Inputs!$B$14-Inputs!$B$13)*A60/Inputs!$B$15),IF(Inputs!$B$16="S-Curve",Inputs!$B$13+(Inputs!$B$14-Inputs!$B$13)/(1+EXP(-0.25*(A60-Inputs!$B$15/2))),Inputs!$B$13+(Inputs!$B$14-Inputs!$B$13)/(1+EXP(-0.35*(A60-Inputs!$B$15/2)))))</f>
        <v/>
      </c>
      <c r="E60" s="5">
        <f>MIN(Inputs!$B$14,D60)</f>
        <v/>
      </c>
      <c r="F60" s="7">
        <f>'Unit Mix &amp; Market Comps'!$B$11*E60</f>
        <v/>
      </c>
      <c r="G60" s="5">
        <f>MAX(0,E60-Inputs!$B$17)</f>
        <v/>
      </c>
      <c r="H60" s="5">
        <f>Inputs!$B$18/12</f>
        <v/>
      </c>
      <c r="I60" s="4">
        <f>'Unit Mix &amp; Market Comps'!$E$11*(1+H60)^(A60-1)</f>
        <v/>
      </c>
      <c r="J60" s="4">
        <f>'Unit Mix &amp; Market Comps'!$B$11*I60*G60</f>
        <v/>
      </c>
      <c r="K60" s="4">
        <f>J60*(Inputs!$B$19+Inputs!$B$20)+Inputs!$B$21</f>
        <v/>
      </c>
      <c r="L60" s="17">
        <f>J60+K60</f>
        <v/>
      </c>
      <c r="M60" s="1" t="n"/>
      <c r="N60" s="1" t="n"/>
    </row>
    <row r="61" ht="18" customHeight="1">
      <c r="A61" s="2" t="n">
        <v>58</v>
      </c>
      <c r="B61" s="8">
        <f>ROUNDUP(A61/12,0)</f>
        <v/>
      </c>
      <c r="C61" s="16">
        <f>E60</f>
        <v/>
      </c>
      <c r="D61" s="5">
        <f>IF(Inputs!$B$16="Linear",MIN(Inputs!$B$14,Inputs!$B$13+(Inputs!$B$14-Inputs!$B$13)*A61/Inputs!$B$15),IF(Inputs!$B$16="S-Curve",Inputs!$B$13+(Inputs!$B$14-Inputs!$B$13)/(1+EXP(-0.25*(A61-Inputs!$B$15/2))),Inputs!$B$13+(Inputs!$B$14-Inputs!$B$13)/(1+EXP(-0.35*(A61-Inputs!$B$15/2)))))</f>
        <v/>
      </c>
      <c r="E61" s="5">
        <f>MIN(Inputs!$B$14,D61)</f>
        <v/>
      </c>
      <c r="F61" s="7">
        <f>'Unit Mix &amp; Market Comps'!$B$11*E61</f>
        <v/>
      </c>
      <c r="G61" s="5">
        <f>MAX(0,E61-Inputs!$B$17)</f>
        <v/>
      </c>
      <c r="H61" s="5">
        <f>Inputs!$B$18/12</f>
        <v/>
      </c>
      <c r="I61" s="4">
        <f>'Unit Mix &amp; Market Comps'!$E$11*(1+H61)^(A61-1)</f>
        <v/>
      </c>
      <c r="J61" s="4">
        <f>'Unit Mix &amp; Market Comps'!$B$11*I61*G61</f>
        <v/>
      </c>
      <c r="K61" s="4">
        <f>J61*(Inputs!$B$19+Inputs!$B$20)+Inputs!$B$21</f>
        <v/>
      </c>
      <c r="L61" s="17">
        <f>J61+K61</f>
        <v/>
      </c>
      <c r="M61" s="1" t="n"/>
      <c r="N61" s="1" t="n"/>
    </row>
    <row r="62" ht="18" customHeight="1">
      <c r="A62" s="2" t="n">
        <v>59</v>
      </c>
      <c r="B62" s="8">
        <f>ROUNDUP(A62/12,0)</f>
        <v/>
      </c>
      <c r="C62" s="16">
        <f>E61</f>
        <v/>
      </c>
      <c r="D62" s="5">
        <f>IF(Inputs!$B$16="Linear",MIN(Inputs!$B$14,Inputs!$B$13+(Inputs!$B$14-Inputs!$B$13)*A62/Inputs!$B$15),IF(Inputs!$B$16="S-Curve",Inputs!$B$13+(Inputs!$B$14-Inputs!$B$13)/(1+EXP(-0.25*(A62-Inputs!$B$15/2))),Inputs!$B$13+(Inputs!$B$14-Inputs!$B$13)/(1+EXP(-0.35*(A62-Inputs!$B$15/2)))))</f>
        <v/>
      </c>
      <c r="E62" s="5">
        <f>MIN(Inputs!$B$14,D62)</f>
        <v/>
      </c>
      <c r="F62" s="7">
        <f>'Unit Mix &amp; Market Comps'!$B$11*E62</f>
        <v/>
      </c>
      <c r="G62" s="5">
        <f>MAX(0,E62-Inputs!$B$17)</f>
        <v/>
      </c>
      <c r="H62" s="5">
        <f>Inputs!$B$18/12</f>
        <v/>
      </c>
      <c r="I62" s="4">
        <f>'Unit Mix &amp; Market Comps'!$E$11*(1+H62)^(A62-1)</f>
        <v/>
      </c>
      <c r="J62" s="4">
        <f>'Unit Mix &amp; Market Comps'!$B$11*I62*G62</f>
        <v/>
      </c>
      <c r="K62" s="4">
        <f>J62*(Inputs!$B$19+Inputs!$B$20)+Inputs!$B$21</f>
        <v/>
      </c>
      <c r="L62" s="17">
        <f>J62+K62</f>
        <v/>
      </c>
      <c r="M62" s="1" t="n"/>
      <c r="N62" s="1" t="n"/>
    </row>
    <row r="63" ht="18" customHeight="1">
      <c r="A63" s="2" t="n">
        <v>60</v>
      </c>
      <c r="B63" s="8">
        <f>ROUNDUP(A63/12,0)</f>
        <v/>
      </c>
      <c r="C63" s="16">
        <f>E62</f>
        <v/>
      </c>
      <c r="D63" s="5">
        <f>IF(Inputs!$B$16="Linear",MIN(Inputs!$B$14,Inputs!$B$13+(Inputs!$B$14-Inputs!$B$13)*A63/Inputs!$B$15),IF(Inputs!$B$16="S-Curve",Inputs!$B$13+(Inputs!$B$14-Inputs!$B$13)/(1+EXP(-0.25*(A63-Inputs!$B$15/2))),Inputs!$B$13+(Inputs!$B$14-Inputs!$B$13)/(1+EXP(-0.35*(A63-Inputs!$B$15/2)))))</f>
        <v/>
      </c>
      <c r="E63" s="5">
        <f>MIN(Inputs!$B$14,D63)</f>
        <v/>
      </c>
      <c r="F63" s="7">
        <f>'Unit Mix &amp; Market Comps'!$B$11*E63</f>
        <v/>
      </c>
      <c r="G63" s="5">
        <f>MAX(0,E63-Inputs!$B$17)</f>
        <v/>
      </c>
      <c r="H63" s="5">
        <f>Inputs!$B$18/12</f>
        <v/>
      </c>
      <c r="I63" s="4">
        <f>'Unit Mix &amp; Market Comps'!$E$11*(1+H63)^(A63-1)</f>
        <v/>
      </c>
      <c r="J63" s="4">
        <f>'Unit Mix &amp; Market Comps'!$B$11*I63*G63</f>
        <v/>
      </c>
      <c r="K63" s="4">
        <f>J63*(Inputs!$B$19+Inputs!$B$20)+Inputs!$B$21</f>
        <v/>
      </c>
      <c r="L63" s="17">
        <f>J63+K63</f>
        <v/>
      </c>
      <c r="M63" s="1" t="n"/>
      <c r="N63" s="1" t="n"/>
    </row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1"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:J1"/>
    </sheetView>
  </sheetViews>
  <sheetFormatPr baseColWidth="8" defaultRowHeight="14.4"/>
  <cols>
    <col width="4.6640625" customWidth="1" min="1" max="1"/>
    <col width="17.21875" customWidth="1" min="2" max="2"/>
    <col width="14.21875" customWidth="1" min="3" max="3"/>
    <col width="15.109375" customWidth="1" min="4" max="4"/>
    <col width="17.5546875" customWidth="1" min="5" max="5"/>
    <col width="9.88671875" customWidth="1" min="6" max="6"/>
    <col width="10.44140625" customWidth="1" min="7" max="7"/>
    <col width="15" customWidth="1" min="8" max="29"/>
  </cols>
  <sheetData>
    <row r="1" ht="18" customHeight="1">
      <c r="A1" s="58" t="inlineStr">
        <is>
          <t>Annual Revenue Forecast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4" t="inlineStr">
        <is>
          <t>Year</t>
        </is>
      </c>
      <c r="B3" s="15" t="inlineStr">
        <is>
          <t>Avg Economic Occ.</t>
        </is>
      </c>
      <c r="C3" s="15" t="inlineStr">
        <is>
          <t>Rental Revenue</t>
        </is>
      </c>
      <c r="D3" s="15" t="inlineStr">
        <is>
          <t>Ancillary Income</t>
        </is>
      </c>
      <c r="E3" s="15" t="inlineStr">
        <is>
          <t>Expansion Revenue</t>
        </is>
      </c>
      <c r="F3" s="15" t="inlineStr">
        <is>
          <t>Total EGI</t>
        </is>
      </c>
      <c r="G3" s="15" t="inlineStr">
        <is>
          <t>EGI Growth</t>
        </is>
      </c>
      <c r="H3" s="1" t="n"/>
      <c r="I3" s="1" t="n"/>
      <c r="J3" s="1" t="n"/>
    </row>
    <row r="4" ht="18" customHeight="1">
      <c r="A4" s="2" t="n">
        <v>1</v>
      </c>
      <c r="B4" s="5">
        <f>AVERAGE('Monthly Lease-Up'!G4:G15)</f>
        <v/>
      </c>
      <c r="C4" s="4">
        <f>SUM('Monthly Lease-Up'!J4:J15)</f>
        <v/>
      </c>
      <c r="D4" s="4">
        <f>SUM('Monthly Lease-Up'!K4:K15)</f>
        <v/>
      </c>
      <c r="E4" s="4">
        <f>SUM('Expansion CapEx'!E17:E28)</f>
        <v/>
      </c>
      <c r="F4" s="17">
        <f>C4+D4+E4</f>
        <v/>
      </c>
      <c r="G4" s="23" t="inlineStr">
        <is>
          <t>-</t>
        </is>
      </c>
      <c r="H4" s="1" t="n"/>
      <c r="I4" s="1" t="n"/>
      <c r="J4" s="1" t="n"/>
    </row>
    <row r="5" ht="18" customHeight="1">
      <c r="A5" s="2" t="n">
        <v>2</v>
      </c>
      <c r="B5" s="5">
        <f>AVERAGE('Monthly Lease-Up'!G16:G27)</f>
        <v/>
      </c>
      <c r="C5" s="4">
        <f>SUM('Monthly Lease-Up'!J16:J27)</f>
        <v/>
      </c>
      <c r="D5" s="4">
        <f>SUM('Monthly Lease-Up'!K16:K27)</f>
        <v/>
      </c>
      <c r="E5" s="4">
        <f>SUM('Expansion CapEx'!E29:E40)</f>
        <v/>
      </c>
      <c r="F5" s="17">
        <f>C5+D5+E5</f>
        <v/>
      </c>
      <c r="G5" s="16">
        <f>F5/F4-1</f>
        <v/>
      </c>
      <c r="H5" s="1" t="n"/>
      <c r="I5" s="1" t="n"/>
      <c r="J5" s="1" t="n"/>
    </row>
    <row r="6" ht="18" customHeight="1">
      <c r="A6" s="2" t="n">
        <v>3</v>
      </c>
      <c r="B6" s="5">
        <f>AVERAGE('Monthly Lease-Up'!G28:G39)</f>
        <v/>
      </c>
      <c r="C6" s="4">
        <f>SUM('Monthly Lease-Up'!J28:J39)</f>
        <v/>
      </c>
      <c r="D6" s="4">
        <f>SUM('Monthly Lease-Up'!K28:K39)</f>
        <v/>
      </c>
      <c r="E6" s="4">
        <f>SUM('Expansion CapEx'!E41:E52)</f>
        <v/>
      </c>
      <c r="F6" s="17">
        <f>C6+D6+E6</f>
        <v/>
      </c>
      <c r="G6" s="16">
        <f>F6/F5-1</f>
        <v/>
      </c>
      <c r="H6" s="1" t="n"/>
      <c r="I6" s="1" t="n"/>
      <c r="J6" s="1" t="n"/>
    </row>
    <row r="7" ht="18" customHeight="1">
      <c r="A7" s="2" t="n">
        <v>4</v>
      </c>
      <c r="B7" s="5">
        <f>AVERAGE('Monthly Lease-Up'!G40:G51)</f>
        <v/>
      </c>
      <c r="C7" s="4">
        <f>SUM('Monthly Lease-Up'!J40:J51)</f>
        <v/>
      </c>
      <c r="D7" s="4">
        <f>SUM('Monthly Lease-Up'!K40:K51)</f>
        <v/>
      </c>
      <c r="E7" s="4">
        <f>SUM('Expansion CapEx'!E53:E64)</f>
        <v/>
      </c>
      <c r="F7" s="17">
        <f>C7+D7+E7</f>
        <v/>
      </c>
      <c r="G7" s="16">
        <f>F7/F6-1</f>
        <v/>
      </c>
      <c r="H7" s="1" t="n"/>
      <c r="I7" s="1" t="n"/>
      <c r="J7" s="1" t="n"/>
    </row>
    <row r="8" ht="18" customHeight="1">
      <c r="A8" s="2" t="n">
        <v>5</v>
      </c>
      <c r="B8" s="5">
        <f>AVERAGE('Monthly Lease-Up'!G52:G63)</f>
        <v/>
      </c>
      <c r="C8" s="4">
        <f>SUM('Monthly Lease-Up'!J52:J63)</f>
        <v/>
      </c>
      <c r="D8" s="4">
        <f>SUM('Monthly Lease-Up'!K52:K63)</f>
        <v/>
      </c>
      <c r="E8" s="4">
        <f>SUM('Expansion CapEx'!E65:E76)</f>
        <v/>
      </c>
      <c r="F8" s="17">
        <f>C8+D8+E8</f>
        <v/>
      </c>
      <c r="G8" s="16">
        <f>F8/F7-1</f>
        <v/>
      </c>
      <c r="H8" s="1" t="n"/>
      <c r="I8" s="1" t="n"/>
      <c r="J8" s="1" t="n"/>
    </row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1">
    <mergeCell ref="A1:J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:J1"/>
    </sheetView>
  </sheetViews>
  <sheetFormatPr baseColWidth="8" defaultRowHeight="14.4"/>
  <cols>
    <col width="34" customWidth="1" min="1" max="1"/>
    <col width="15" customWidth="1" min="2" max="29"/>
  </cols>
  <sheetData>
    <row r="1" ht="18" customHeight="1">
      <c r="A1" s="58" t="inlineStr">
        <is>
          <t>Operating Expense Forecast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2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8" customHeight="1">
      <c r="A4" s="14" t="inlineStr">
        <is>
          <t>Expense Line</t>
        </is>
      </c>
      <c r="B4" s="15" t="inlineStr">
        <is>
          <t>Year 1</t>
        </is>
      </c>
      <c r="C4" s="15" t="inlineStr">
        <is>
          <t>Year 2</t>
        </is>
      </c>
      <c r="D4" s="15" t="inlineStr">
        <is>
          <t>Year 3</t>
        </is>
      </c>
      <c r="E4" s="15" t="inlineStr">
        <is>
          <t>Year 4</t>
        </is>
      </c>
      <c r="F4" s="15" t="inlineStr">
        <is>
          <t>Year 5</t>
        </is>
      </c>
      <c r="G4" s="15" t="inlineStr">
        <is>
          <t>% EGI Y1</t>
        </is>
      </c>
      <c r="H4" s="1" t="n"/>
      <c r="I4" s="1" t="n"/>
      <c r="J4" s="1" t="n"/>
    </row>
    <row r="5" ht="18" customHeight="1">
      <c r="A5" s="2" t="inlineStr">
        <is>
          <t>Property Taxes</t>
        </is>
      </c>
      <c r="B5" s="9" t="n">
        <v>130000</v>
      </c>
      <c r="C5" s="4">
        <f>B5*(1+Inputs!$B$22)^1</f>
        <v/>
      </c>
      <c r="D5" s="4">
        <f>B5*(1+Inputs!$B$22)^2</f>
        <v/>
      </c>
      <c r="E5" s="4">
        <f>B5*(1+Inputs!$B$22)^3</f>
        <v/>
      </c>
      <c r="F5" s="4">
        <f>B5*(1+Inputs!$B$22)^4</f>
        <v/>
      </c>
      <c r="G5" s="5">
        <f>B5/'Revenue Forecast'!$F$4</f>
        <v/>
      </c>
      <c r="H5" s="1" t="n"/>
      <c r="I5" s="1" t="n"/>
      <c r="J5" s="1" t="n"/>
    </row>
    <row r="6" ht="18" customHeight="1">
      <c r="A6" s="2" t="inlineStr">
        <is>
          <t>Insurance</t>
        </is>
      </c>
      <c r="B6" s="9" t="n">
        <v>45000</v>
      </c>
      <c r="C6" s="4">
        <f>B6*(1+Inputs!$B$22)^1</f>
        <v/>
      </c>
      <c r="D6" s="4">
        <f>B6*(1+Inputs!$B$22)^2</f>
        <v/>
      </c>
      <c r="E6" s="4">
        <f>B6*(1+Inputs!$B$22)^3</f>
        <v/>
      </c>
      <c r="F6" s="4">
        <f>B6*(1+Inputs!$B$22)^4</f>
        <v/>
      </c>
      <c r="G6" s="5">
        <f>B6/'Revenue Forecast'!$F$4</f>
        <v/>
      </c>
      <c r="H6" s="1" t="n"/>
      <c r="I6" s="1" t="n"/>
      <c r="J6" s="1" t="n"/>
    </row>
    <row r="7" ht="18" customHeight="1">
      <c r="A7" s="2" t="inlineStr">
        <is>
          <t>Utilities</t>
        </is>
      </c>
      <c r="B7" s="9" t="n">
        <v>60000</v>
      </c>
      <c r="C7" s="4">
        <f>B7*(1+Inputs!$B$22)^1</f>
        <v/>
      </c>
      <c r="D7" s="4">
        <f>B7*(1+Inputs!$B$22)^2</f>
        <v/>
      </c>
      <c r="E7" s="4">
        <f>B7*(1+Inputs!$B$22)^3</f>
        <v/>
      </c>
      <c r="F7" s="4">
        <f>B7*(1+Inputs!$B$22)^4</f>
        <v/>
      </c>
      <c r="G7" s="5">
        <f>B7/'Revenue Forecast'!$F$4</f>
        <v/>
      </c>
      <c r="H7" s="1" t="n"/>
      <c r="I7" s="1" t="n"/>
      <c r="J7" s="1" t="n"/>
    </row>
    <row r="8" ht="18" customHeight="1">
      <c r="A8" s="2" t="inlineStr">
        <is>
          <t>Repairs &amp; Maintenance</t>
        </is>
      </c>
      <c r="B8" s="9" t="n">
        <v>65000</v>
      </c>
      <c r="C8" s="4">
        <f>B8*(1+Inputs!$B$22)^1</f>
        <v/>
      </c>
      <c r="D8" s="4">
        <f>B8*(1+Inputs!$B$22)^2</f>
        <v/>
      </c>
      <c r="E8" s="4">
        <f>B8*(1+Inputs!$B$22)^3</f>
        <v/>
      </c>
      <c r="F8" s="4">
        <f>B8*(1+Inputs!$B$22)^4</f>
        <v/>
      </c>
      <c r="G8" s="5">
        <f>B8/'Revenue Forecast'!$F$4</f>
        <v/>
      </c>
      <c r="H8" s="1" t="n"/>
      <c r="I8" s="1" t="n"/>
      <c r="J8" s="1" t="n"/>
    </row>
    <row r="9" ht="18" customHeight="1">
      <c r="A9" s="2" t="inlineStr">
        <is>
          <t>Payroll / On-Site Staff</t>
        </is>
      </c>
      <c r="B9" s="9" t="n">
        <v>90000</v>
      </c>
      <c r="C9" s="4">
        <f>B9*(1+Inputs!$B$22)^1</f>
        <v/>
      </c>
      <c r="D9" s="4">
        <f>B9*(1+Inputs!$B$22)^2</f>
        <v/>
      </c>
      <c r="E9" s="4">
        <f>B9*(1+Inputs!$B$22)^3</f>
        <v/>
      </c>
      <c r="F9" s="4">
        <f>B9*(1+Inputs!$B$22)^4</f>
        <v/>
      </c>
      <c r="G9" s="5">
        <f>B9/'Revenue Forecast'!$F$4</f>
        <v/>
      </c>
      <c r="H9" s="1" t="n"/>
      <c r="I9" s="1" t="n"/>
      <c r="J9" s="1" t="n"/>
    </row>
    <row r="10" ht="18" customHeight="1">
      <c r="A10" s="2" t="inlineStr">
        <is>
          <t>Management Fee</t>
        </is>
      </c>
      <c r="B10" s="4">
        <f>'Revenue Forecast'!F4*3.5%</f>
        <v/>
      </c>
      <c r="C10" s="4">
        <f>B10*(1+Inputs!$B$22)^1</f>
        <v/>
      </c>
      <c r="D10" s="4">
        <f>B10*(1+Inputs!$B$22)^2</f>
        <v/>
      </c>
      <c r="E10" s="4">
        <f>B10*(1+Inputs!$B$22)^3</f>
        <v/>
      </c>
      <c r="F10" s="4">
        <f>B10*(1+Inputs!$B$22)^4</f>
        <v/>
      </c>
      <c r="G10" s="5">
        <f>B10/'Revenue Forecast'!$F$4</f>
        <v/>
      </c>
      <c r="H10" s="1" t="n"/>
      <c r="I10" s="1" t="n"/>
      <c r="J10" s="1" t="n"/>
    </row>
    <row r="11" ht="18" customHeight="1">
      <c r="A11" s="2" t="inlineStr">
        <is>
          <t>Marketing / Admin</t>
        </is>
      </c>
      <c r="B11" s="9" t="n">
        <v>40000</v>
      </c>
      <c r="C11" s="4">
        <f>B11*(1+Inputs!$B$22)^1</f>
        <v/>
      </c>
      <c r="D11" s="4">
        <f>B11*(1+Inputs!$B$22)^2</f>
        <v/>
      </c>
      <c r="E11" s="4">
        <f>B11*(1+Inputs!$B$22)^3</f>
        <v/>
      </c>
      <c r="F11" s="4">
        <f>B11*(1+Inputs!$B$22)^4</f>
        <v/>
      </c>
      <c r="G11" s="5">
        <f>B11/'Revenue Forecast'!$F$4</f>
        <v/>
      </c>
      <c r="H11" s="1" t="n"/>
      <c r="I11" s="1" t="n"/>
      <c r="J11" s="1" t="n"/>
    </row>
    <row r="12" ht="18" customHeight="1">
      <c r="A12" s="2" t="inlineStr">
        <is>
          <t>Software / Call Center</t>
        </is>
      </c>
      <c r="B12" s="9" t="n">
        <v>30000</v>
      </c>
      <c r="C12" s="4">
        <f>B12*(1+Inputs!$B$22)^1</f>
        <v/>
      </c>
      <c r="D12" s="4">
        <f>B12*(1+Inputs!$B$22)^2</f>
        <v/>
      </c>
      <c r="E12" s="4">
        <f>B12*(1+Inputs!$B$22)^3</f>
        <v/>
      </c>
      <c r="F12" s="4">
        <f>B12*(1+Inputs!$B$22)^4</f>
        <v/>
      </c>
      <c r="G12" s="5">
        <f>B12/'Revenue Forecast'!$F$4</f>
        <v/>
      </c>
      <c r="H12" s="1" t="n"/>
      <c r="I12" s="1" t="n"/>
      <c r="J12" s="1" t="n"/>
    </row>
    <row r="13" ht="18" customHeight="1">
      <c r="A13" s="2" t="inlineStr">
        <is>
          <t>Bad Debt / Concessions</t>
        </is>
      </c>
      <c r="B13" s="4">
        <f>'Revenue Forecast'!F4*1.5%</f>
        <v/>
      </c>
      <c r="C13" s="4">
        <f>B13*(1+Inputs!$B$22)^1</f>
        <v/>
      </c>
      <c r="D13" s="4">
        <f>B13*(1+Inputs!$B$22)^2</f>
        <v/>
      </c>
      <c r="E13" s="4">
        <f>B13*(1+Inputs!$B$22)^3</f>
        <v/>
      </c>
      <c r="F13" s="4">
        <f>B13*(1+Inputs!$B$22)^4</f>
        <v/>
      </c>
      <c r="G13" s="5">
        <f>B13/'Revenue Forecast'!$F$4</f>
        <v/>
      </c>
      <c r="H13" s="1" t="n"/>
      <c r="I13" s="1" t="n"/>
      <c r="J13" s="1" t="n"/>
    </row>
    <row r="14" ht="18" customHeight="1">
      <c r="A14" s="2" t="inlineStr">
        <is>
          <t>Replacement Reserves</t>
        </is>
      </c>
      <c r="B14" s="9" t="n">
        <v>25000</v>
      </c>
      <c r="C14" s="4">
        <f>B14*(1+Inputs!$B$22)^1</f>
        <v/>
      </c>
      <c r="D14" s="4">
        <f>B14*(1+Inputs!$B$22)^2</f>
        <v/>
      </c>
      <c r="E14" s="4">
        <f>B14*(1+Inputs!$B$22)^3</f>
        <v/>
      </c>
      <c r="F14" s="4">
        <f>B14*(1+Inputs!$B$22)^4</f>
        <v/>
      </c>
      <c r="G14" s="5">
        <f>B14/'Revenue Forecast'!$F$4</f>
        <v/>
      </c>
      <c r="H14" s="1" t="n"/>
      <c r="I14" s="1" t="n"/>
      <c r="J14" s="1" t="n"/>
    </row>
    <row r="15" ht="18" customHeight="1">
      <c r="A15" s="18" t="inlineStr">
        <is>
          <t>Total Operating Expenses</t>
        </is>
      </c>
      <c r="B15" s="20">
        <f>SUM(B5:B14)</f>
        <v/>
      </c>
      <c r="C15" s="20">
        <f>SUM(C5:C14)</f>
        <v/>
      </c>
      <c r="D15" s="20">
        <f>SUM(D5:D14)</f>
        <v/>
      </c>
      <c r="E15" s="20">
        <f>SUM(E5:E14)</f>
        <v/>
      </c>
      <c r="F15" s="20">
        <f>SUM(F5:F14)</f>
        <v/>
      </c>
      <c r="G15" s="24">
        <f>B15/'Revenue Forecast'!$F$4</f>
        <v/>
      </c>
      <c r="H15" s="1" t="n"/>
      <c r="I15" s="1" t="n"/>
      <c r="J15" s="1" t="n"/>
    </row>
    <row r="16" ht="18" customHeight="1">
      <c r="A16" s="2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18" customHeight="1">
      <c r="A17" s="18" t="inlineStr">
        <is>
          <t>NOI</t>
        </is>
      </c>
      <c r="B17" s="25">
        <f>'Revenue Forecast'!F4-B15</f>
        <v/>
      </c>
      <c r="C17" s="25">
        <f>'Revenue Forecast'!F5-C15</f>
        <v/>
      </c>
      <c r="D17" s="25">
        <f>'Revenue Forecast'!F6-D15</f>
        <v/>
      </c>
      <c r="E17" s="25">
        <f>'Revenue Forecast'!F7-E15</f>
        <v/>
      </c>
      <c r="F17" s="25">
        <f>'Revenue Forecast'!F8-F15</f>
        <v/>
      </c>
      <c r="G17" s="24">
        <f>B17/'Revenue Forecast'!$F$4</f>
        <v/>
      </c>
      <c r="H17" s="1" t="n"/>
      <c r="I17" s="1" t="n"/>
      <c r="J17" s="1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0" workbookViewId="0">
      <selection activeCell="A1" sqref="A1:J1"/>
    </sheetView>
  </sheetViews>
  <sheetFormatPr baseColWidth="8" defaultRowHeight="14.4"/>
  <cols>
    <col width="26.109375" customWidth="1" min="1" max="1"/>
    <col width="17.77734375" customWidth="1" min="2" max="2"/>
    <col width="16.44140625" customWidth="1" min="3" max="3"/>
    <col width="12.88671875" customWidth="1" min="4" max="4"/>
    <col width="16.6640625" customWidth="1" min="5" max="5"/>
    <col width="27.77734375" customWidth="1" min="6" max="6"/>
    <col width="15" customWidth="1" min="7" max="29"/>
  </cols>
  <sheetData>
    <row r="1" ht="18" customHeight="1">
      <c r="A1" s="58" t="inlineStr">
        <is>
          <t>Expansion / Construction Module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56" t="inlineStr">
        <is>
          <t>Expansion Assumptions</t>
        </is>
      </c>
    </row>
    <row r="4" ht="18" customHeight="1">
      <c r="A4" s="2" t="inlineStr">
        <is>
          <t>Expansion Enabled?</t>
        </is>
      </c>
      <c r="B4" s="11" t="n">
        <v>1</v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8" customHeight="1">
      <c r="A5" s="2" t="inlineStr">
        <is>
          <t>Expansion Start Month</t>
        </is>
      </c>
      <c r="B5" s="11" t="n">
        <v>13</v>
      </c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2" t="inlineStr">
        <is>
          <t>Construction Duration Months</t>
        </is>
      </c>
      <c r="B6" s="11" t="n">
        <v>12</v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2" t="inlineStr">
        <is>
          <t>New Rentable Units</t>
        </is>
      </c>
      <c r="B7" s="11" t="n">
        <v>150</v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2" t="inlineStr">
        <is>
          <t>Avg New Unit Monthly Rent</t>
        </is>
      </c>
      <c r="B8" s="9" t="n">
        <v>175</v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2" t="inlineStr">
        <is>
          <t>Stabilized Occ. on New Units</t>
        </is>
      </c>
      <c r="B9" s="10" t="n">
        <v>0.88</v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2" t="inlineStr">
        <is>
          <t>Cost Per New Unit</t>
        </is>
      </c>
      <c r="B10" s="9" t="n">
        <v>8500</v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2" t="inlineStr">
        <is>
          <t>Soft Costs %</t>
        </is>
      </c>
      <c r="B11" s="10" t="n">
        <v>0.12</v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 ht="18" customHeight="1">
      <c r="A12" s="2" t="inlineStr">
        <is>
          <t>Contingency %</t>
        </is>
      </c>
      <c r="B12" s="10" t="n">
        <v>0.1</v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18" customHeight="1">
      <c r="A13" s="2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8" customHeight="1">
      <c r="A14" s="2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18" customHeight="1">
      <c r="A15" s="2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8" customHeight="1">
      <c r="A16" s="14" t="inlineStr">
        <is>
          <t>Month</t>
        </is>
      </c>
      <c r="B16" s="15" t="inlineStr">
        <is>
          <t>Construction Spend</t>
        </is>
      </c>
      <c r="C16" s="15" t="inlineStr">
        <is>
          <t>Cumulative Spend</t>
        </is>
      </c>
      <c r="D16" s="15" t="inlineStr">
        <is>
          <t>New Unit Occ.</t>
        </is>
      </c>
      <c r="E16" s="15" t="inlineStr">
        <is>
          <t>New Unit Revenue</t>
        </is>
      </c>
      <c r="F16" s="15" t="inlineStr">
        <is>
          <t>Incremental NOI @ 65% Margin</t>
        </is>
      </c>
      <c r="G16" s="1" t="n"/>
      <c r="H16" s="1" t="n"/>
      <c r="I16" s="1" t="n"/>
      <c r="J16" s="1" t="n"/>
    </row>
    <row r="17" ht="18" customHeight="1">
      <c r="A17" s="2" t="n">
        <v>1</v>
      </c>
      <c r="B17" s="17">
        <f>IF(AND($B$4=1,A17&gt;=$B$5,A17&lt;$B$5+$B$6),($B$7*$B$10*(1+$B$11+$B$12))/$B$6,0)</f>
        <v/>
      </c>
      <c r="C17" s="17">
        <f>SUM($B$17:B17)</f>
        <v/>
      </c>
      <c r="D17" s="16">
        <f>IF(A17&lt;$B$5+$B$6,0,MIN($B$9,(A17-($B$5+$B$6))/12*$B$9))</f>
        <v/>
      </c>
      <c r="E17" s="17">
        <f>$B$7*$B$8*D17</f>
        <v/>
      </c>
      <c r="F17" s="17">
        <f>E17*65%</f>
        <v/>
      </c>
      <c r="G17" s="1" t="n"/>
      <c r="H17" s="1" t="n"/>
      <c r="I17" s="1" t="n"/>
      <c r="J17" s="1" t="n"/>
    </row>
    <row r="18" ht="18" customHeight="1">
      <c r="A18" s="2" t="n">
        <v>2</v>
      </c>
      <c r="B18" s="17">
        <f>IF(AND($B$4=1,A18&gt;=$B$5,A18&lt;$B$5+$B$6),($B$7*$B$10*(1+$B$11+$B$12))/$B$6,0)</f>
        <v/>
      </c>
      <c r="C18" s="17">
        <f>SUM($B$17:B18)</f>
        <v/>
      </c>
      <c r="D18" s="16">
        <f>IF(A18&lt;$B$5+$B$6,0,MIN($B$9,(A18-($B$5+$B$6))/12*$B$9))</f>
        <v/>
      </c>
      <c r="E18" s="17">
        <f>$B$7*$B$8*D18</f>
        <v/>
      </c>
      <c r="F18" s="17">
        <f>E18*65%</f>
        <v/>
      </c>
      <c r="G18" s="1" t="n"/>
      <c r="H18" s="1" t="n"/>
      <c r="I18" s="1" t="n"/>
      <c r="J18" s="1" t="n"/>
    </row>
    <row r="19" ht="18" customHeight="1">
      <c r="A19" s="2" t="n">
        <v>3</v>
      </c>
      <c r="B19" s="17">
        <f>IF(AND($B$4=1,A19&gt;=$B$5,A19&lt;$B$5+$B$6),($B$7*$B$10*(1+$B$11+$B$12))/$B$6,0)</f>
        <v/>
      </c>
      <c r="C19" s="17">
        <f>SUM($B$17:B19)</f>
        <v/>
      </c>
      <c r="D19" s="16">
        <f>IF(A19&lt;$B$5+$B$6,0,MIN($B$9,(A19-($B$5+$B$6))/12*$B$9))</f>
        <v/>
      </c>
      <c r="E19" s="17">
        <f>$B$7*$B$8*D19</f>
        <v/>
      </c>
      <c r="F19" s="17">
        <f>E19*65%</f>
        <v/>
      </c>
      <c r="G19" s="1" t="n"/>
      <c r="H19" s="1" t="n"/>
      <c r="I19" s="1" t="n"/>
      <c r="J19" s="1" t="n"/>
    </row>
    <row r="20" ht="18" customHeight="1">
      <c r="A20" s="2" t="n">
        <v>4</v>
      </c>
      <c r="B20" s="17">
        <f>IF(AND($B$4=1,A20&gt;=$B$5,A20&lt;$B$5+$B$6),($B$7*$B$10*(1+$B$11+$B$12))/$B$6,0)</f>
        <v/>
      </c>
      <c r="C20" s="17">
        <f>SUM($B$17:B20)</f>
        <v/>
      </c>
      <c r="D20" s="16">
        <f>IF(A20&lt;$B$5+$B$6,0,MIN($B$9,(A20-($B$5+$B$6))/12*$B$9))</f>
        <v/>
      </c>
      <c r="E20" s="17">
        <f>$B$7*$B$8*D20</f>
        <v/>
      </c>
      <c r="F20" s="17">
        <f>E20*65%</f>
        <v/>
      </c>
      <c r="G20" s="1" t="n"/>
      <c r="H20" s="1" t="n"/>
      <c r="I20" s="1" t="n"/>
      <c r="J20" s="1" t="n"/>
    </row>
    <row r="21" ht="18" customHeight="1">
      <c r="A21" s="2" t="n">
        <v>5</v>
      </c>
      <c r="B21" s="17">
        <f>IF(AND($B$4=1,A21&gt;=$B$5,A21&lt;$B$5+$B$6),($B$7*$B$10*(1+$B$11+$B$12))/$B$6,0)</f>
        <v/>
      </c>
      <c r="C21" s="17">
        <f>SUM($B$17:B21)</f>
        <v/>
      </c>
      <c r="D21" s="16">
        <f>IF(A21&lt;$B$5+$B$6,0,MIN($B$9,(A21-($B$5+$B$6))/12*$B$9))</f>
        <v/>
      </c>
      <c r="E21" s="17">
        <f>$B$7*$B$8*D21</f>
        <v/>
      </c>
      <c r="F21" s="17">
        <f>E21*65%</f>
        <v/>
      </c>
      <c r="G21" s="1" t="n"/>
      <c r="H21" s="1" t="n"/>
      <c r="I21" s="1" t="n"/>
      <c r="J21" s="1" t="n"/>
    </row>
    <row r="22" ht="18" customHeight="1">
      <c r="A22" s="2" t="n">
        <v>6</v>
      </c>
      <c r="B22" s="17">
        <f>IF(AND($B$4=1,A22&gt;=$B$5,A22&lt;$B$5+$B$6),($B$7*$B$10*(1+$B$11+$B$12))/$B$6,0)</f>
        <v/>
      </c>
      <c r="C22" s="17">
        <f>SUM($B$17:B22)</f>
        <v/>
      </c>
      <c r="D22" s="16">
        <f>IF(A22&lt;$B$5+$B$6,0,MIN($B$9,(A22-($B$5+$B$6))/12*$B$9))</f>
        <v/>
      </c>
      <c r="E22" s="17">
        <f>$B$7*$B$8*D22</f>
        <v/>
      </c>
      <c r="F22" s="17">
        <f>E22*65%</f>
        <v/>
      </c>
      <c r="G22" s="1" t="n"/>
      <c r="H22" s="1" t="n"/>
      <c r="I22" s="1" t="n"/>
      <c r="J22" s="1" t="n"/>
    </row>
    <row r="23" ht="18" customHeight="1">
      <c r="A23" s="2" t="n">
        <v>7</v>
      </c>
      <c r="B23" s="17">
        <f>IF(AND($B$4=1,A23&gt;=$B$5,A23&lt;$B$5+$B$6),($B$7*$B$10*(1+$B$11+$B$12))/$B$6,0)</f>
        <v/>
      </c>
      <c r="C23" s="17">
        <f>SUM($B$17:B23)</f>
        <v/>
      </c>
      <c r="D23" s="16">
        <f>IF(A23&lt;$B$5+$B$6,0,MIN($B$9,(A23-($B$5+$B$6))/12*$B$9))</f>
        <v/>
      </c>
      <c r="E23" s="17">
        <f>$B$7*$B$8*D23</f>
        <v/>
      </c>
      <c r="F23" s="17">
        <f>E23*65%</f>
        <v/>
      </c>
      <c r="G23" s="1" t="n"/>
      <c r="H23" s="1" t="n"/>
      <c r="I23" s="1" t="n"/>
      <c r="J23" s="1" t="n"/>
    </row>
    <row r="24" ht="18" customHeight="1">
      <c r="A24" s="2" t="n">
        <v>8</v>
      </c>
      <c r="B24" s="17">
        <f>IF(AND($B$4=1,A24&gt;=$B$5,A24&lt;$B$5+$B$6),($B$7*$B$10*(1+$B$11+$B$12))/$B$6,0)</f>
        <v/>
      </c>
      <c r="C24" s="17">
        <f>SUM($B$17:B24)</f>
        <v/>
      </c>
      <c r="D24" s="16">
        <f>IF(A24&lt;$B$5+$B$6,0,MIN($B$9,(A24-($B$5+$B$6))/12*$B$9))</f>
        <v/>
      </c>
      <c r="E24" s="17">
        <f>$B$7*$B$8*D24</f>
        <v/>
      </c>
      <c r="F24" s="17">
        <f>E24*65%</f>
        <v/>
      </c>
      <c r="G24" s="1" t="n"/>
      <c r="H24" s="1" t="n"/>
      <c r="I24" s="1" t="n"/>
      <c r="J24" s="1" t="n"/>
    </row>
    <row r="25" ht="18" customHeight="1">
      <c r="A25" s="2" t="n">
        <v>9</v>
      </c>
      <c r="B25" s="17">
        <f>IF(AND($B$4=1,A25&gt;=$B$5,A25&lt;$B$5+$B$6),($B$7*$B$10*(1+$B$11+$B$12))/$B$6,0)</f>
        <v/>
      </c>
      <c r="C25" s="17">
        <f>SUM($B$17:B25)</f>
        <v/>
      </c>
      <c r="D25" s="16">
        <f>IF(A25&lt;$B$5+$B$6,0,MIN($B$9,(A25-($B$5+$B$6))/12*$B$9))</f>
        <v/>
      </c>
      <c r="E25" s="17">
        <f>$B$7*$B$8*D25</f>
        <v/>
      </c>
      <c r="F25" s="17">
        <f>E25*65%</f>
        <v/>
      </c>
      <c r="G25" s="1" t="n"/>
      <c r="H25" s="1" t="n"/>
      <c r="I25" s="1" t="n"/>
      <c r="J25" s="1" t="n"/>
    </row>
    <row r="26" ht="18" customHeight="1">
      <c r="A26" s="2" t="n">
        <v>10</v>
      </c>
      <c r="B26" s="17">
        <f>IF(AND($B$4=1,A26&gt;=$B$5,A26&lt;$B$5+$B$6),($B$7*$B$10*(1+$B$11+$B$12))/$B$6,0)</f>
        <v/>
      </c>
      <c r="C26" s="17">
        <f>SUM($B$17:B26)</f>
        <v/>
      </c>
      <c r="D26" s="16">
        <f>IF(A26&lt;$B$5+$B$6,0,MIN($B$9,(A26-($B$5+$B$6))/12*$B$9))</f>
        <v/>
      </c>
      <c r="E26" s="17">
        <f>$B$7*$B$8*D26</f>
        <v/>
      </c>
      <c r="F26" s="17">
        <f>E26*65%</f>
        <v/>
      </c>
      <c r="G26" s="1" t="n"/>
      <c r="H26" s="1" t="n"/>
      <c r="I26" s="1" t="n"/>
      <c r="J26" s="1" t="n"/>
    </row>
    <row r="27" ht="18" customHeight="1">
      <c r="A27" s="2" t="n">
        <v>11</v>
      </c>
      <c r="B27" s="17">
        <f>IF(AND($B$4=1,A27&gt;=$B$5,A27&lt;$B$5+$B$6),($B$7*$B$10*(1+$B$11+$B$12))/$B$6,0)</f>
        <v/>
      </c>
      <c r="C27" s="17">
        <f>SUM($B$17:B27)</f>
        <v/>
      </c>
      <c r="D27" s="16">
        <f>IF(A27&lt;$B$5+$B$6,0,MIN($B$9,(A27-($B$5+$B$6))/12*$B$9))</f>
        <v/>
      </c>
      <c r="E27" s="17">
        <f>$B$7*$B$8*D27</f>
        <v/>
      </c>
      <c r="F27" s="17">
        <f>E27*65%</f>
        <v/>
      </c>
      <c r="G27" s="1" t="n"/>
      <c r="H27" s="1" t="n"/>
      <c r="I27" s="1" t="n"/>
      <c r="J27" s="1" t="n"/>
    </row>
    <row r="28" ht="18" customHeight="1">
      <c r="A28" s="2" t="n">
        <v>12</v>
      </c>
      <c r="B28" s="17">
        <f>IF(AND($B$4=1,A28&gt;=$B$5,A28&lt;$B$5+$B$6),($B$7*$B$10*(1+$B$11+$B$12))/$B$6,0)</f>
        <v/>
      </c>
      <c r="C28" s="17">
        <f>SUM($B$17:B28)</f>
        <v/>
      </c>
      <c r="D28" s="16">
        <f>IF(A28&lt;$B$5+$B$6,0,MIN($B$9,(A28-($B$5+$B$6))/12*$B$9))</f>
        <v/>
      </c>
      <c r="E28" s="17">
        <f>$B$7*$B$8*D28</f>
        <v/>
      </c>
      <c r="F28" s="17">
        <f>E28*65%</f>
        <v/>
      </c>
      <c r="G28" s="1" t="n"/>
      <c r="H28" s="1" t="n"/>
      <c r="I28" s="1" t="n"/>
      <c r="J28" s="1" t="n"/>
    </row>
    <row r="29" ht="18" customHeight="1">
      <c r="A29" s="2" t="n">
        <v>13</v>
      </c>
      <c r="B29" s="17">
        <f>IF(AND($B$4=1,A29&gt;=$B$5,A29&lt;$B$5+$B$6),($B$7*$B$10*(1+$B$11+$B$12))/$B$6,0)</f>
        <v/>
      </c>
      <c r="C29" s="17">
        <f>SUM($B$17:B29)</f>
        <v/>
      </c>
      <c r="D29" s="16">
        <f>IF(A29&lt;$B$5+$B$6,0,MIN($B$9,(A29-($B$5+$B$6))/12*$B$9))</f>
        <v/>
      </c>
      <c r="E29" s="17">
        <f>$B$7*$B$8*D29</f>
        <v/>
      </c>
      <c r="F29" s="17">
        <f>E29*65%</f>
        <v/>
      </c>
      <c r="G29" s="1" t="n"/>
      <c r="H29" s="1" t="n"/>
      <c r="I29" s="1" t="n"/>
      <c r="J29" s="1" t="n"/>
    </row>
    <row r="30" ht="18" customHeight="1">
      <c r="A30" s="2" t="n">
        <v>14</v>
      </c>
      <c r="B30" s="17">
        <f>IF(AND($B$4=1,A30&gt;=$B$5,A30&lt;$B$5+$B$6),($B$7*$B$10*(1+$B$11+$B$12))/$B$6,0)</f>
        <v/>
      </c>
      <c r="C30" s="17">
        <f>SUM($B$17:B30)</f>
        <v/>
      </c>
      <c r="D30" s="16">
        <f>IF(A30&lt;$B$5+$B$6,0,MIN($B$9,(A30-($B$5+$B$6))/12*$B$9))</f>
        <v/>
      </c>
      <c r="E30" s="17">
        <f>$B$7*$B$8*D30</f>
        <v/>
      </c>
      <c r="F30" s="17">
        <f>E30*65%</f>
        <v/>
      </c>
      <c r="G30" s="1" t="n"/>
      <c r="H30" s="1" t="n"/>
      <c r="I30" s="1" t="n"/>
      <c r="J30" s="1" t="n"/>
    </row>
    <row r="31" ht="18" customHeight="1">
      <c r="A31" s="2" t="n">
        <v>15</v>
      </c>
      <c r="B31" s="17">
        <f>IF(AND($B$4=1,A31&gt;=$B$5,A31&lt;$B$5+$B$6),($B$7*$B$10*(1+$B$11+$B$12))/$B$6,0)</f>
        <v/>
      </c>
      <c r="C31" s="17">
        <f>SUM($B$17:B31)</f>
        <v/>
      </c>
      <c r="D31" s="16">
        <f>IF(A31&lt;$B$5+$B$6,0,MIN($B$9,(A31-($B$5+$B$6))/12*$B$9))</f>
        <v/>
      </c>
      <c r="E31" s="17">
        <f>$B$7*$B$8*D31</f>
        <v/>
      </c>
      <c r="F31" s="17">
        <f>E31*65%</f>
        <v/>
      </c>
      <c r="G31" s="1" t="n"/>
      <c r="H31" s="1" t="n"/>
      <c r="I31" s="1" t="n"/>
      <c r="J31" s="1" t="n"/>
    </row>
    <row r="32" ht="18" customHeight="1">
      <c r="A32" s="2" t="n">
        <v>16</v>
      </c>
      <c r="B32" s="17">
        <f>IF(AND($B$4=1,A32&gt;=$B$5,A32&lt;$B$5+$B$6),($B$7*$B$10*(1+$B$11+$B$12))/$B$6,0)</f>
        <v/>
      </c>
      <c r="C32" s="17">
        <f>SUM($B$17:B32)</f>
        <v/>
      </c>
      <c r="D32" s="16">
        <f>IF(A32&lt;$B$5+$B$6,0,MIN($B$9,(A32-($B$5+$B$6))/12*$B$9))</f>
        <v/>
      </c>
      <c r="E32" s="17">
        <f>$B$7*$B$8*D32</f>
        <v/>
      </c>
      <c r="F32" s="17">
        <f>E32*65%</f>
        <v/>
      </c>
      <c r="G32" s="1" t="n"/>
      <c r="H32" s="1" t="n"/>
      <c r="I32" s="1" t="n"/>
      <c r="J32" s="1" t="n"/>
    </row>
    <row r="33" ht="18" customHeight="1">
      <c r="A33" s="2" t="n">
        <v>17</v>
      </c>
      <c r="B33" s="17">
        <f>IF(AND($B$4=1,A33&gt;=$B$5,A33&lt;$B$5+$B$6),($B$7*$B$10*(1+$B$11+$B$12))/$B$6,0)</f>
        <v/>
      </c>
      <c r="C33" s="17">
        <f>SUM($B$17:B33)</f>
        <v/>
      </c>
      <c r="D33" s="16">
        <f>IF(A33&lt;$B$5+$B$6,0,MIN($B$9,(A33-($B$5+$B$6))/12*$B$9))</f>
        <v/>
      </c>
      <c r="E33" s="17">
        <f>$B$7*$B$8*D33</f>
        <v/>
      </c>
      <c r="F33" s="17">
        <f>E33*65%</f>
        <v/>
      </c>
      <c r="G33" s="1" t="n"/>
      <c r="H33" s="1" t="n"/>
      <c r="I33" s="1" t="n"/>
      <c r="J33" s="1" t="n"/>
    </row>
    <row r="34" ht="18" customHeight="1">
      <c r="A34" s="2" t="n">
        <v>18</v>
      </c>
      <c r="B34" s="17">
        <f>IF(AND($B$4=1,A34&gt;=$B$5,A34&lt;$B$5+$B$6),($B$7*$B$10*(1+$B$11+$B$12))/$B$6,0)</f>
        <v/>
      </c>
      <c r="C34" s="17">
        <f>SUM($B$17:B34)</f>
        <v/>
      </c>
      <c r="D34" s="16">
        <f>IF(A34&lt;$B$5+$B$6,0,MIN($B$9,(A34-($B$5+$B$6))/12*$B$9))</f>
        <v/>
      </c>
      <c r="E34" s="17">
        <f>$B$7*$B$8*D34</f>
        <v/>
      </c>
      <c r="F34" s="17">
        <f>E34*65%</f>
        <v/>
      </c>
      <c r="G34" s="1" t="n"/>
      <c r="H34" s="1" t="n"/>
      <c r="I34" s="1" t="n"/>
      <c r="J34" s="1" t="n"/>
    </row>
    <row r="35" ht="18" customHeight="1">
      <c r="A35" s="2" t="n">
        <v>19</v>
      </c>
      <c r="B35" s="17">
        <f>IF(AND($B$4=1,A35&gt;=$B$5,A35&lt;$B$5+$B$6),($B$7*$B$10*(1+$B$11+$B$12))/$B$6,0)</f>
        <v/>
      </c>
      <c r="C35" s="17">
        <f>SUM($B$17:B35)</f>
        <v/>
      </c>
      <c r="D35" s="16">
        <f>IF(A35&lt;$B$5+$B$6,0,MIN($B$9,(A35-($B$5+$B$6))/12*$B$9))</f>
        <v/>
      </c>
      <c r="E35" s="17">
        <f>$B$7*$B$8*D35</f>
        <v/>
      </c>
      <c r="F35" s="17">
        <f>E35*65%</f>
        <v/>
      </c>
      <c r="G35" s="1" t="n"/>
      <c r="H35" s="1" t="n"/>
      <c r="I35" s="1" t="n"/>
      <c r="J35" s="1" t="n"/>
    </row>
    <row r="36" ht="18" customHeight="1">
      <c r="A36" s="2" t="n">
        <v>20</v>
      </c>
      <c r="B36" s="17">
        <f>IF(AND($B$4=1,A36&gt;=$B$5,A36&lt;$B$5+$B$6),($B$7*$B$10*(1+$B$11+$B$12))/$B$6,0)</f>
        <v/>
      </c>
      <c r="C36" s="17">
        <f>SUM($B$17:B36)</f>
        <v/>
      </c>
      <c r="D36" s="16">
        <f>IF(A36&lt;$B$5+$B$6,0,MIN($B$9,(A36-($B$5+$B$6))/12*$B$9))</f>
        <v/>
      </c>
      <c r="E36" s="17">
        <f>$B$7*$B$8*D36</f>
        <v/>
      </c>
      <c r="F36" s="17">
        <f>E36*65%</f>
        <v/>
      </c>
      <c r="G36" s="1" t="n"/>
      <c r="H36" s="1" t="n"/>
      <c r="I36" s="1" t="n"/>
      <c r="J36" s="1" t="n"/>
    </row>
    <row r="37" ht="18" customHeight="1">
      <c r="A37" s="2" t="n">
        <v>21</v>
      </c>
      <c r="B37" s="17">
        <f>IF(AND($B$4=1,A37&gt;=$B$5,A37&lt;$B$5+$B$6),($B$7*$B$10*(1+$B$11+$B$12))/$B$6,0)</f>
        <v/>
      </c>
      <c r="C37" s="17">
        <f>SUM($B$17:B37)</f>
        <v/>
      </c>
      <c r="D37" s="16">
        <f>IF(A37&lt;$B$5+$B$6,0,MIN($B$9,(A37-($B$5+$B$6))/12*$B$9))</f>
        <v/>
      </c>
      <c r="E37" s="17">
        <f>$B$7*$B$8*D37</f>
        <v/>
      </c>
      <c r="F37" s="17">
        <f>E37*65%</f>
        <v/>
      </c>
      <c r="G37" s="1" t="n"/>
      <c r="H37" s="1" t="n"/>
      <c r="I37" s="1" t="n"/>
      <c r="J37" s="1" t="n"/>
    </row>
    <row r="38" ht="18" customHeight="1">
      <c r="A38" s="2" t="n">
        <v>22</v>
      </c>
      <c r="B38" s="17">
        <f>IF(AND($B$4=1,A38&gt;=$B$5,A38&lt;$B$5+$B$6),($B$7*$B$10*(1+$B$11+$B$12))/$B$6,0)</f>
        <v/>
      </c>
      <c r="C38" s="17">
        <f>SUM($B$17:B38)</f>
        <v/>
      </c>
      <c r="D38" s="16">
        <f>IF(A38&lt;$B$5+$B$6,0,MIN($B$9,(A38-($B$5+$B$6))/12*$B$9))</f>
        <v/>
      </c>
      <c r="E38" s="17">
        <f>$B$7*$B$8*D38</f>
        <v/>
      </c>
      <c r="F38" s="17">
        <f>E38*65%</f>
        <v/>
      </c>
      <c r="G38" s="1" t="n"/>
      <c r="H38" s="1" t="n"/>
      <c r="I38" s="1" t="n"/>
      <c r="J38" s="1" t="n"/>
    </row>
    <row r="39" ht="18" customHeight="1">
      <c r="A39" s="2" t="n">
        <v>23</v>
      </c>
      <c r="B39" s="17">
        <f>IF(AND($B$4=1,A39&gt;=$B$5,A39&lt;$B$5+$B$6),($B$7*$B$10*(1+$B$11+$B$12))/$B$6,0)</f>
        <v/>
      </c>
      <c r="C39" s="17">
        <f>SUM($B$17:B39)</f>
        <v/>
      </c>
      <c r="D39" s="16">
        <f>IF(A39&lt;$B$5+$B$6,0,MIN($B$9,(A39-($B$5+$B$6))/12*$B$9))</f>
        <v/>
      </c>
      <c r="E39" s="17">
        <f>$B$7*$B$8*D39</f>
        <v/>
      </c>
      <c r="F39" s="17">
        <f>E39*65%</f>
        <v/>
      </c>
      <c r="G39" s="1" t="n"/>
      <c r="H39" s="1" t="n"/>
      <c r="I39" s="1" t="n"/>
      <c r="J39" s="1" t="n"/>
    </row>
    <row r="40" ht="18" customHeight="1">
      <c r="A40" s="2" t="n">
        <v>24</v>
      </c>
      <c r="B40" s="17">
        <f>IF(AND($B$4=1,A40&gt;=$B$5,A40&lt;$B$5+$B$6),($B$7*$B$10*(1+$B$11+$B$12))/$B$6,0)</f>
        <v/>
      </c>
      <c r="C40" s="17">
        <f>SUM($B$17:B40)</f>
        <v/>
      </c>
      <c r="D40" s="16">
        <f>IF(A40&lt;$B$5+$B$6,0,MIN($B$9,(A40-($B$5+$B$6))/12*$B$9))</f>
        <v/>
      </c>
      <c r="E40" s="17">
        <f>$B$7*$B$8*D40</f>
        <v/>
      </c>
      <c r="F40" s="17">
        <f>E40*65%</f>
        <v/>
      </c>
      <c r="G40" s="1" t="n"/>
      <c r="H40" s="1" t="n"/>
      <c r="I40" s="1" t="n"/>
      <c r="J40" s="1" t="n"/>
    </row>
    <row r="41" ht="18" customHeight="1">
      <c r="A41" s="2" t="n">
        <v>25</v>
      </c>
      <c r="B41" s="17">
        <f>IF(AND($B$4=1,A41&gt;=$B$5,A41&lt;$B$5+$B$6),($B$7*$B$10*(1+$B$11+$B$12))/$B$6,0)</f>
        <v/>
      </c>
      <c r="C41" s="17">
        <f>SUM($B$17:B41)</f>
        <v/>
      </c>
      <c r="D41" s="16">
        <f>IF(A41&lt;$B$5+$B$6,0,MIN($B$9,(A41-($B$5+$B$6))/12*$B$9))</f>
        <v/>
      </c>
      <c r="E41" s="17">
        <f>$B$7*$B$8*D41</f>
        <v/>
      </c>
      <c r="F41" s="17">
        <f>E41*65%</f>
        <v/>
      </c>
      <c r="G41" s="1" t="n"/>
      <c r="H41" s="1" t="n"/>
      <c r="I41" s="1" t="n"/>
      <c r="J41" s="1" t="n"/>
    </row>
    <row r="42" ht="18" customHeight="1">
      <c r="A42" s="2" t="n">
        <v>26</v>
      </c>
      <c r="B42" s="17">
        <f>IF(AND($B$4=1,A42&gt;=$B$5,A42&lt;$B$5+$B$6),($B$7*$B$10*(1+$B$11+$B$12))/$B$6,0)</f>
        <v/>
      </c>
      <c r="C42" s="17">
        <f>SUM($B$17:B42)</f>
        <v/>
      </c>
      <c r="D42" s="16">
        <f>IF(A42&lt;$B$5+$B$6,0,MIN($B$9,(A42-($B$5+$B$6))/12*$B$9))</f>
        <v/>
      </c>
      <c r="E42" s="17">
        <f>$B$7*$B$8*D42</f>
        <v/>
      </c>
      <c r="F42" s="17">
        <f>E42*65%</f>
        <v/>
      </c>
      <c r="G42" s="1" t="n"/>
      <c r="H42" s="1" t="n"/>
      <c r="I42" s="1" t="n"/>
      <c r="J42" s="1" t="n"/>
    </row>
    <row r="43" ht="18" customHeight="1">
      <c r="A43" s="2" t="n">
        <v>27</v>
      </c>
      <c r="B43" s="17">
        <f>IF(AND($B$4=1,A43&gt;=$B$5,A43&lt;$B$5+$B$6),($B$7*$B$10*(1+$B$11+$B$12))/$B$6,0)</f>
        <v/>
      </c>
      <c r="C43" s="17">
        <f>SUM($B$17:B43)</f>
        <v/>
      </c>
      <c r="D43" s="16">
        <f>IF(A43&lt;$B$5+$B$6,0,MIN($B$9,(A43-($B$5+$B$6))/12*$B$9))</f>
        <v/>
      </c>
      <c r="E43" s="17">
        <f>$B$7*$B$8*D43</f>
        <v/>
      </c>
      <c r="F43" s="17">
        <f>E43*65%</f>
        <v/>
      </c>
      <c r="G43" s="1" t="n"/>
      <c r="H43" s="1" t="n"/>
      <c r="I43" s="1" t="n"/>
      <c r="J43" s="1" t="n"/>
    </row>
    <row r="44" ht="18" customHeight="1">
      <c r="A44" s="2" t="n">
        <v>28</v>
      </c>
      <c r="B44" s="17">
        <f>IF(AND($B$4=1,A44&gt;=$B$5,A44&lt;$B$5+$B$6),($B$7*$B$10*(1+$B$11+$B$12))/$B$6,0)</f>
        <v/>
      </c>
      <c r="C44" s="17">
        <f>SUM($B$17:B44)</f>
        <v/>
      </c>
      <c r="D44" s="16">
        <f>IF(A44&lt;$B$5+$B$6,0,MIN($B$9,(A44-($B$5+$B$6))/12*$B$9))</f>
        <v/>
      </c>
      <c r="E44" s="17">
        <f>$B$7*$B$8*D44</f>
        <v/>
      </c>
      <c r="F44" s="17">
        <f>E44*65%</f>
        <v/>
      </c>
      <c r="G44" s="1" t="n"/>
      <c r="H44" s="1" t="n"/>
      <c r="I44" s="1" t="n"/>
      <c r="J44" s="1" t="n"/>
    </row>
    <row r="45" ht="18" customHeight="1">
      <c r="A45" s="2" t="n">
        <v>29</v>
      </c>
      <c r="B45" s="17">
        <f>IF(AND($B$4=1,A45&gt;=$B$5,A45&lt;$B$5+$B$6),($B$7*$B$10*(1+$B$11+$B$12))/$B$6,0)</f>
        <v/>
      </c>
      <c r="C45" s="17">
        <f>SUM($B$17:B45)</f>
        <v/>
      </c>
      <c r="D45" s="16">
        <f>IF(A45&lt;$B$5+$B$6,0,MIN($B$9,(A45-($B$5+$B$6))/12*$B$9))</f>
        <v/>
      </c>
      <c r="E45" s="17">
        <f>$B$7*$B$8*D45</f>
        <v/>
      </c>
      <c r="F45" s="17">
        <f>E45*65%</f>
        <v/>
      </c>
      <c r="G45" s="1" t="n"/>
      <c r="H45" s="1" t="n"/>
      <c r="I45" s="1" t="n"/>
      <c r="J45" s="1" t="n"/>
    </row>
    <row r="46" ht="18" customHeight="1">
      <c r="A46" s="2" t="n">
        <v>30</v>
      </c>
      <c r="B46" s="17">
        <f>IF(AND($B$4=1,A46&gt;=$B$5,A46&lt;$B$5+$B$6),($B$7*$B$10*(1+$B$11+$B$12))/$B$6,0)</f>
        <v/>
      </c>
      <c r="C46" s="17">
        <f>SUM($B$17:B46)</f>
        <v/>
      </c>
      <c r="D46" s="16">
        <f>IF(A46&lt;$B$5+$B$6,0,MIN($B$9,(A46-($B$5+$B$6))/12*$B$9))</f>
        <v/>
      </c>
      <c r="E46" s="17">
        <f>$B$7*$B$8*D46</f>
        <v/>
      </c>
      <c r="F46" s="17">
        <f>E46*65%</f>
        <v/>
      </c>
      <c r="G46" s="1" t="n"/>
      <c r="H46" s="1" t="n"/>
      <c r="I46" s="1" t="n"/>
      <c r="J46" s="1" t="n"/>
    </row>
    <row r="47" ht="18" customHeight="1">
      <c r="A47" s="2" t="n">
        <v>31</v>
      </c>
      <c r="B47" s="17">
        <f>IF(AND($B$4=1,A47&gt;=$B$5,A47&lt;$B$5+$B$6),($B$7*$B$10*(1+$B$11+$B$12))/$B$6,0)</f>
        <v/>
      </c>
      <c r="C47" s="17">
        <f>SUM($B$17:B47)</f>
        <v/>
      </c>
      <c r="D47" s="16">
        <f>IF(A47&lt;$B$5+$B$6,0,MIN($B$9,(A47-($B$5+$B$6))/12*$B$9))</f>
        <v/>
      </c>
      <c r="E47" s="17">
        <f>$B$7*$B$8*D47</f>
        <v/>
      </c>
      <c r="F47" s="17">
        <f>E47*65%</f>
        <v/>
      </c>
      <c r="G47" s="1" t="n"/>
      <c r="H47" s="1" t="n"/>
      <c r="I47" s="1" t="n"/>
      <c r="J47" s="1" t="n"/>
    </row>
    <row r="48" ht="18" customHeight="1">
      <c r="A48" s="2" t="n">
        <v>32</v>
      </c>
      <c r="B48" s="17">
        <f>IF(AND($B$4=1,A48&gt;=$B$5,A48&lt;$B$5+$B$6),($B$7*$B$10*(1+$B$11+$B$12))/$B$6,0)</f>
        <v/>
      </c>
      <c r="C48" s="17">
        <f>SUM($B$17:B48)</f>
        <v/>
      </c>
      <c r="D48" s="16">
        <f>IF(A48&lt;$B$5+$B$6,0,MIN($B$9,(A48-($B$5+$B$6))/12*$B$9))</f>
        <v/>
      </c>
      <c r="E48" s="17">
        <f>$B$7*$B$8*D48</f>
        <v/>
      </c>
      <c r="F48" s="17">
        <f>E48*65%</f>
        <v/>
      </c>
      <c r="G48" s="1" t="n"/>
      <c r="H48" s="1" t="n"/>
      <c r="I48" s="1" t="n"/>
      <c r="J48" s="1" t="n"/>
    </row>
    <row r="49" ht="18" customHeight="1">
      <c r="A49" s="2" t="n">
        <v>33</v>
      </c>
      <c r="B49" s="17">
        <f>IF(AND($B$4=1,A49&gt;=$B$5,A49&lt;$B$5+$B$6),($B$7*$B$10*(1+$B$11+$B$12))/$B$6,0)</f>
        <v/>
      </c>
      <c r="C49" s="17">
        <f>SUM($B$17:B49)</f>
        <v/>
      </c>
      <c r="D49" s="16">
        <f>IF(A49&lt;$B$5+$B$6,0,MIN($B$9,(A49-($B$5+$B$6))/12*$B$9))</f>
        <v/>
      </c>
      <c r="E49" s="17">
        <f>$B$7*$B$8*D49</f>
        <v/>
      </c>
      <c r="F49" s="17">
        <f>E49*65%</f>
        <v/>
      </c>
      <c r="G49" s="1" t="n"/>
      <c r="H49" s="1" t="n"/>
      <c r="I49" s="1" t="n"/>
      <c r="J49" s="1" t="n"/>
    </row>
    <row r="50" ht="18" customHeight="1">
      <c r="A50" s="2" t="n">
        <v>34</v>
      </c>
      <c r="B50" s="17">
        <f>IF(AND($B$4=1,A50&gt;=$B$5,A50&lt;$B$5+$B$6),($B$7*$B$10*(1+$B$11+$B$12))/$B$6,0)</f>
        <v/>
      </c>
      <c r="C50" s="17">
        <f>SUM($B$17:B50)</f>
        <v/>
      </c>
      <c r="D50" s="16">
        <f>IF(A50&lt;$B$5+$B$6,0,MIN($B$9,(A50-($B$5+$B$6))/12*$B$9))</f>
        <v/>
      </c>
      <c r="E50" s="17">
        <f>$B$7*$B$8*D50</f>
        <v/>
      </c>
      <c r="F50" s="17">
        <f>E50*65%</f>
        <v/>
      </c>
      <c r="G50" s="1" t="n"/>
      <c r="H50" s="1" t="n"/>
      <c r="I50" s="1" t="n"/>
      <c r="J50" s="1" t="n"/>
    </row>
    <row r="51" ht="18" customHeight="1">
      <c r="A51" s="2" t="n">
        <v>35</v>
      </c>
      <c r="B51" s="17">
        <f>IF(AND($B$4=1,A51&gt;=$B$5,A51&lt;$B$5+$B$6),($B$7*$B$10*(1+$B$11+$B$12))/$B$6,0)</f>
        <v/>
      </c>
      <c r="C51" s="17">
        <f>SUM($B$17:B51)</f>
        <v/>
      </c>
      <c r="D51" s="16">
        <f>IF(A51&lt;$B$5+$B$6,0,MIN($B$9,(A51-($B$5+$B$6))/12*$B$9))</f>
        <v/>
      </c>
      <c r="E51" s="17">
        <f>$B$7*$B$8*D51</f>
        <v/>
      </c>
      <c r="F51" s="17">
        <f>E51*65%</f>
        <v/>
      </c>
      <c r="G51" s="1" t="n"/>
      <c r="H51" s="1" t="n"/>
      <c r="I51" s="1" t="n"/>
      <c r="J51" s="1" t="n"/>
    </row>
    <row r="52" ht="18" customHeight="1">
      <c r="A52" s="2" t="n">
        <v>36</v>
      </c>
      <c r="B52" s="17">
        <f>IF(AND($B$4=1,A52&gt;=$B$5,A52&lt;$B$5+$B$6),($B$7*$B$10*(1+$B$11+$B$12))/$B$6,0)</f>
        <v/>
      </c>
      <c r="C52" s="17">
        <f>SUM($B$17:B52)</f>
        <v/>
      </c>
      <c r="D52" s="16">
        <f>IF(A52&lt;$B$5+$B$6,0,MIN($B$9,(A52-($B$5+$B$6))/12*$B$9))</f>
        <v/>
      </c>
      <c r="E52" s="17">
        <f>$B$7*$B$8*D52</f>
        <v/>
      </c>
      <c r="F52" s="17">
        <f>E52*65%</f>
        <v/>
      </c>
      <c r="G52" s="1" t="n"/>
      <c r="H52" s="1" t="n"/>
      <c r="I52" s="1" t="n"/>
      <c r="J52" s="1" t="n"/>
    </row>
    <row r="53" ht="18" customHeight="1">
      <c r="A53" s="2" t="n">
        <v>37</v>
      </c>
      <c r="B53" s="17">
        <f>IF(AND($B$4=1,A53&gt;=$B$5,A53&lt;$B$5+$B$6),($B$7*$B$10*(1+$B$11+$B$12))/$B$6,0)</f>
        <v/>
      </c>
      <c r="C53" s="17">
        <f>SUM($B$17:B53)</f>
        <v/>
      </c>
      <c r="D53" s="16">
        <f>IF(A53&lt;$B$5+$B$6,0,MIN($B$9,(A53-($B$5+$B$6))/12*$B$9))</f>
        <v/>
      </c>
      <c r="E53" s="17">
        <f>$B$7*$B$8*D53</f>
        <v/>
      </c>
      <c r="F53" s="17">
        <f>E53*65%</f>
        <v/>
      </c>
      <c r="G53" s="1" t="n"/>
      <c r="H53" s="1" t="n"/>
      <c r="I53" s="1" t="n"/>
      <c r="J53" s="1" t="n"/>
    </row>
    <row r="54" ht="18" customHeight="1">
      <c r="A54" s="2" t="n">
        <v>38</v>
      </c>
      <c r="B54" s="17">
        <f>IF(AND($B$4=1,A54&gt;=$B$5,A54&lt;$B$5+$B$6),($B$7*$B$10*(1+$B$11+$B$12))/$B$6,0)</f>
        <v/>
      </c>
      <c r="C54" s="17">
        <f>SUM($B$17:B54)</f>
        <v/>
      </c>
      <c r="D54" s="16">
        <f>IF(A54&lt;$B$5+$B$6,0,MIN($B$9,(A54-($B$5+$B$6))/12*$B$9))</f>
        <v/>
      </c>
      <c r="E54" s="17">
        <f>$B$7*$B$8*D54</f>
        <v/>
      </c>
      <c r="F54" s="17">
        <f>E54*65%</f>
        <v/>
      </c>
      <c r="G54" s="1" t="n"/>
      <c r="H54" s="1" t="n"/>
      <c r="I54" s="1" t="n"/>
      <c r="J54" s="1" t="n"/>
    </row>
    <row r="55" ht="18" customHeight="1">
      <c r="A55" s="2" t="n">
        <v>39</v>
      </c>
      <c r="B55" s="17">
        <f>IF(AND($B$4=1,A55&gt;=$B$5,A55&lt;$B$5+$B$6),($B$7*$B$10*(1+$B$11+$B$12))/$B$6,0)</f>
        <v/>
      </c>
      <c r="C55" s="17">
        <f>SUM($B$17:B55)</f>
        <v/>
      </c>
      <c r="D55" s="16">
        <f>IF(A55&lt;$B$5+$B$6,0,MIN($B$9,(A55-($B$5+$B$6))/12*$B$9))</f>
        <v/>
      </c>
      <c r="E55" s="17">
        <f>$B$7*$B$8*D55</f>
        <v/>
      </c>
      <c r="F55" s="17">
        <f>E55*65%</f>
        <v/>
      </c>
      <c r="G55" s="1" t="n"/>
      <c r="H55" s="1" t="n"/>
      <c r="I55" s="1" t="n"/>
      <c r="J55" s="1" t="n"/>
    </row>
    <row r="56" ht="18" customHeight="1">
      <c r="A56" s="2" t="n">
        <v>40</v>
      </c>
      <c r="B56" s="17">
        <f>IF(AND($B$4=1,A56&gt;=$B$5,A56&lt;$B$5+$B$6),($B$7*$B$10*(1+$B$11+$B$12))/$B$6,0)</f>
        <v/>
      </c>
      <c r="C56" s="17">
        <f>SUM($B$17:B56)</f>
        <v/>
      </c>
      <c r="D56" s="16">
        <f>IF(A56&lt;$B$5+$B$6,0,MIN($B$9,(A56-($B$5+$B$6))/12*$B$9))</f>
        <v/>
      </c>
      <c r="E56" s="17">
        <f>$B$7*$B$8*D56</f>
        <v/>
      </c>
      <c r="F56" s="17">
        <f>E56*65%</f>
        <v/>
      </c>
      <c r="G56" s="1" t="n"/>
      <c r="H56" s="1" t="n"/>
      <c r="I56" s="1" t="n"/>
      <c r="J56" s="1" t="n"/>
    </row>
    <row r="57" ht="18" customHeight="1">
      <c r="A57" s="2" t="n">
        <v>41</v>
      </c>
      <c r="B57" s="17">
        <f>IF(AND($B$4=1,A57&gt;=$B$5,A57&lt;$B$5+$B$6),($B$7*$B$10*(1+$B$11+$B$12))/$B$6,0)</f>
        <v/>
      </c>
      <c r="C57" s="17">
        <f>SUM($B$17:B57)</f>
        <v/>
      </c>
      <c r="D57" s="16">
        <f>IF(A57&lt;$B$5+$B$6,0,MIN($B$9,(A57-($B$5+$B$6))/12*$B$9))</f>
        <v/>
      </c>
      <c r="E57" s="17">
        <f>$B$7*$B$8*D57</f>
        <v/>
      </c>
      <c r="F57" s="17">
        <f>E57*65%</f>
        <v/>
      </c>
      <c r="G57" s="1" t="n"/>
      <c r="H57" s="1" t="n"/>
      <c r="I57" s="1" t="n"/>
      <c r="J57" s="1" t="n"/>
    </row>
    <row r="58" ht="18" customHeight="1">
      <c r="A58" s="2" t="n">
        <v>42</v>
      </c>
      <c r="B58" s="17">
        <f>IF(AND($B$4=1,A58&gt;=$B$5,A58&lt;$B$5+$B$6),($B$7*$B$10*(1+$B$11+$B$12))/$B$6,0)</f>
        <v/>
      </c>
      <c r="C58" s="17">
        <f>SUM($B$17:B58)</f>
        <v/>
      </c>
      <c r="D58" s="16">
        <f>IF(A58&lt;$B$5+$B$6,0,MIN($B$9,(A58-($B$5+$B$6))/12*$B$9))</f>
        <v/>
      </c>
      <c r="E58" s="17">
        <f>$B$7*$B$8*D58</f>
        <v/>
      </c>
      <c r="F58" s="17">
        <f>E58*65%</f>
        <v/>
      </c>
      <c r="G58" s="1" t="n"/>
      <c r="H58" s="1" t="n"/>
      <c r="I58" s="1" t="n"/>
      <c r="J58" s="1" t="n"/>
    </row>
    <row r="59" ht="18" customHeight="1">
      <c r="A59" s="2" t="n">
        <v>43</v>
      </c>
      <c r="B59" s="17">
        <f>IF(AND($B$4=1,A59&gt;=$B$5,A59&lt;$B$5+$B$6),($B$7*$B$10*(1+$B$11+$B$12))/$B$6,0)</f>
        <v/>
      </c>
      <c r="C59" s="17">
        <f>SUM($B$17:B59)</f>
        <v/>
      </c>
      <c r="D59" s="16">
        <f>IF(A59&lt;$B$5+$B$6,0,MIN($B$9,(A59-($B$5+$B$6))/12*$B$9))</f>
        <v/>
      </c>
      <c r="E59" s="17">
        <f>$B$7*$B$8*D59</f>
        <v/>
      </c>
      <c r="F59" s="17">
        <f>E59*65%</f>
        <v/>
      </c>
      <c r="G59" s="1" t="n"/>
      <c r="H59" s="1" t="n"/>
      <c r="I59" s="1" t="n"/>
      <c r="J59" s="1" t="n"/>
    </row>
    <row r="60" ht="18" customHeight="1">
      <c r="A60" s="2" t="n">
        <v>44</v>
      </c>
      <c r="B60" s="17">
        <f>IF(AND($B$4=1,A60&gt;=$B$5,A60&lt;$B$5+$B$6),($B$7*$B$10*(1+$B$11+$B$12))/$B$6,0)</f>
        <v/>
      </c>
      <c r="C60" s="17">
        <f>SUM($B$17:B60)</f>
        <v/>
      </c>
      <c r="D60" s="16">
        <f>IF(A60&lt;$B$5+$B$6,0,MIN($B$9,(A60-($B$5+$B$6))/12*$B$9))</f>
        <v/>
      </c>
      <c r="E60" s="17">
        <f>$B$7*$B$8*D60</f>
        <v/>
      </c>
      <c r="F60" s="17">
        <f>E60*65%</f>
        <v/>
      </c>
      <c r="G60" s="1" t="n"/>
      <c r="H60" s="1" t="n"/>
      <c r="I60" s="1" t="n"/>
      <c r="J60" s="1" t="n"/>
    </row>
    <row r="61" ht="18" customHeight="1">
      <c r="A61" s="2" t="n">
        <v>45</v>
      </c>
      <c r="B61" s="17">
        <f>IF(AND($B$4=1,A61&gt;=$B$5,A61&lt;$B$5+$B$6),($B$7*$B$10*(1+$B$11+$B$12))/$B$6,0)</f>
        <v/>
      </c>
      <c r="C61" s="17">
        <f>SUM($B$17:B61)</f>
        <v/>
      </c>
      <c r="D61" s="16">
        <f>IF(A61&lt;$B$5+$B$6,0,MIN($B$9,(A61-($B$5+$B$6))/12*$B$9))</f>
        <v/>
      </c>
      <c r="E61" s="17">
        <f>$B$7*$B$8*D61</f>
        <v/>
      </c>
      <c r="F61" s="17">
        <f>E61*65%</f>
        <v/>
      </c>
      <c r="G61" s="1" t="n"/>
      <c r="H61" s="1" t="n"/>
      <c r="I61" s="1" t="n"/>
      <c r="J61" s="1" t="n"/>
    </row>
    <row r="62" ht="18" customHeight="1">
      <c r="A62" s="2" t="n">
        <v>46</v>
      </c>
      <c r="B62" s="17">
        <f>IF(AND($B$4=1,A62&gt;=$B$5,A62&lt;$B$5+$B$6),($B$7*$B$10*(1+$B$11+$B$12))/$B$6,0)</f>
        <v/>
      </c>
      <c r="C62" s="17">
        <f>SUM($B$17:B62)</f>
        <v/>
      </c>
      <c r="D62" s="16">
        <f>IF(A62&lt;$B$5+$B$6,0,MIN($B$9,(A62-($B$5+$B$6))/12*$B$9))</f>
        <v/>
      </c>
      <c r="E62" s="17">
        <f>$B$7*$B$8*D62</f>
        <v/>
      </c>
      <c r="F62" s="17">
        <f>E62*65%</f>
        <v/>
      </c>
      <c r="G62" s="1" t="n"/>
      <c r="H62" s="1" t="n"/>
      <c r="I62" s="1" t="n"/>
      <c r="J62" s="1" t="n"/>
    </row>
    <row r="63" ht="18" customHeight="1">
      <c r="A63" s="2" t="n">
        <v>47</v>
      </c>
      <c r="B63" s="17">
        <f>IF(AND($B$4=1,A63&gt;=$B$5,A63&lt;$B$5+$B$6),($B$7*$B$10*(1+$B$11+$B$12))/$B$6,0)</f>
        <v/>
      </c>
      <c r="C63" s="17">
        <f>SUM($B$17:B63)</f>
        <v/>
      </c>
      <c r="D63" s="16">
        <f>IF(A63&lt;$B$5+$B$6,0,MIN($B$9,(A63-($B$5+$B$6))/12*$B$9))</f>
        <v/>
      </c>
      <c r="E63" s="17">
        <f>$B$7*$B$8*D63</f>
        <v/>
      </c>
      <c r="F63" s="17">
        <f>E63*65%</f>
        <v/>
      </c>
      <c r="G63" s="1" t="n"/>
      <c r="H63" s="1" t="n"/>
      <c r="I63" s="1" t="n"/>
      <c r="J63" s="1" t="n"/>
    </row>
    <row r="64" ht="18" customHeight="1">
      <c r="A64" s="2" t="n">
        <v>48</v>
      </c>
      <c r="B64" s="17">
        <f>IF(AND($B$4=1,A64&gt;=$B$5,A64&lt;$B$5+$B$6),($B$7*$B$10*(1+$B$11+$B$12))/$B$6,0)</f>
        <v/>
      </c>
      <c r="C64" s="17">
        <f>SUM($B$17:B64)</f>
        <v/>
      </c>
      <c r="D64" s="16">
        <f>IF(A64&lt;$B$5+$B$6,0,MIN($B$9,(A64-($B$5+$B$6))/12*$B$9))</f>
        <v/>
      </c>
      <c r="E64" s="17">
        <f>$B$7*$B$8*D64</f>
        <v/>
      </c>
      <c r="F64" s="17">
        <f>E64*65%</f>
        <v/>
      </c>
      <c r="G64" s="1" t="n"/>
      <c r="H64" s="1" t="n"/>
      <c r="I64" s="1" t="n"/>
      <c r="J64" s="1" t="n"/>
    </row>
    <row r="65" ht="18" customHeight="1">
      <c r="A65" s="2" t="n">
        <v>49</v>
      </c>
      <c r="B65" s="17">
        <f>IF(AND($B$4=1,A65&gt;=$B$5,A65&lt;$B$5+$B$6),($B$7*$B$10*(1+$B$11+$B$12))/$B$6,0)</f>
        <v/>
      </c>
      <c r="C65" s="17">
        <f>SUM($B$17:B65)</f>
        <v/>
      </c>
      <c r="D65" s="16">
        <f>IF(A65&lt;$B$5+$B$6,0,MIN($B$9,(A65-($B$5+$B$6))/12*$B$9))</f>
        <v/>
      </c>
      <c r="E65" s="17">
        <f>$B$7*$B$8*D65</f>
        <v/>
      </c>
      <c r="F65" s="17">
        <f>E65*65%</f>
        <v/>
      </c>
      <c r="G65" s="1" t="n"/>
      <c r="H65" s="1" t="n"/>
      <c r="I65" s="1" t="n"/>
      <c r="J65" s="1" t="n"/>
    </row>
    <row r="66" ht="18" customHeight="1">
      <c r="A66" s="2" t="n">
        <v>50</v>
      </c>
      <c r="B66" s="17">
        <f>IF(AND($B$4=1,A66&gt;=$B$5,A66&lt;$B$5+$B$6),($B$7*$B$10*(1+$B$11+$B$12))/$B$6,0)</f>
        <v/>
      </c>
      <c r="C66" s="17">
        <f>SUM($B$17:B66)</f>
        <v/>
      </c>
      <c r="D66" s="16">
        <f>IF(A66&lt;$B$5+$B$6,0,MIN($B$9,(A66-($B$5+$B$6))/12*$B$9))</f>
        <v/>
      </c>
      <c r="E66" s="17">
        <f>$B$7*$B$8*D66</f>
        <v/>
      </c>
      <c r="F66" s="17">
        <f>E66*65%</f>
        <v/>
      </c>
      <c r="G66" s="1" t="n"/>
      <c r="H66" s="1" t="n"/>
      <c r="I66" s="1" t="n"/>
      <c r="J66" s="1" t="n"/>
    </row>
    <row r="67" ht="18" customHeight="1">
      <c r="A67" s="2" t="n">
        <v>51</v>
      </c>
      <c r="B67" s="17">
        <f>IF(AND($B$4=1,A67&gt;=$B$5,A67&lt;$B$5+$B$6),($B$7*$B$10*(1+$B$11+$B$12))/$B$6,0)</f>
        <v/>
      </c>
      <c r="C67" s="17">
        <f>SUM($B$17:B67)</f>
        <v/>
      </c>
      <c r="D67" s="16">
        <f>IF(A67&lt;$B$5+$B$6,0,MIN($B$9,(A67-($B$5+$B$6))/12*$B$9))</f>
        <v/>
      </c>
      <c r="E67" s="17">
        <f>$B$7*$B$8*D67</f>
        <v/>
      </c>
      <c r="F67" s="17">
        <f>E67*65%</f>
        <v/>
      </c>
      <c r="G67" s="1" t="n"/>
      <c r="H67" s="1" t="n"/>
      <c r="I67" s="1" t="n"/>
      <c r="J67" s="1" t="n"/>
    </row>
    <row r="68" ht="18" customHeight="1">
      <c r="A68" s="2" t="n">
        <v>52</v>
      </c>
      <c r="B68" s="17">
        <f>IF(AND($B$4=1,A68&gt;=$B$5,A68&lt;$B$5+$B$6),($B$7*$B$10*(1+$B$11+$B$12))/$B$6,0)</f>
        <v/>
      </c>
      <c r="C68" s="17">
        <f>SUM($B$17:B68)</f>
        <v/>
      </c>
      <c r="D68" s="16">
        <f>IF(A68&lt;$B$5+$B$6,0,MIN($B$9,(A68-($B$5+$B$6))/12*$B$9))</f>
        <v/>
      </c>
      <c r="E68" s="17">
        <f>$B$7*$B$8*D68</f>
        <v/>
      </c>
      <c r="F68" s="17">
        <f>E68*65%</f>
        <v/>
      </c>
      <c r="G68" s="1" t="n"/>
      <c r="H68" s="1" t="n"/>
      <c r="I68" s="1" t="n"/>
      <c r="J68" s="1" t="n"/>
    </row>
    <row r="69" ht="18" customHeight="1">
      <c r="A69" s="2" t="n">
        <v>53</v>
      </c>
      <c r="B69" s="17">
        <f>IF(AND($B$4=1,A69&gt;=$B$5,A69&lt;$B$5+$B$6),($B$7*$B$10*(1+$B$11+$B$12))/$B$6,0)</f>
        <v/>
      </c>
      <c r="C69" s="17">
        <f>SUM($B$17:B69)</f>
        <v/>
      </c>
      <c r="D69" s="16">
        <f>IF(A69&lt;$B$5+$B$6,0,MIN($B$9,(A69-($B$5+$B$6))/12*$B$9))</f>
        <v/>
      </c>
      <c r="E69" s="17">
        <f>$B$7*$B$8*D69</f>
        <v/>
      </c>
      <c r="F69" s="17">
        <f>E69*65%</f>
        <v/>
      </c>
      <c r="G69" s="1" t="n"/>
      <c r="H69" s="1" t="n"/>
      <c r="I69" s="1" t="n"/>
      <c r="J69" s="1" t="n"/>
    </row>
    <row r="70" ht="18" customHeight="1">
      <c r="A70" s="2" t="n">
        <v>54</v>
      </c>
      <c r="B70" s="17">
        <f>IF(AND($B$4=1,A70&gt;=$B$5,A70&lt;$B$5+$B$6),($B$7*$B$10*(1+$B$11+$B$12))/$B$6,0)</f>
        <v/>
      </c>
      <c r="C70" s="17">
        <f>SUM($B$17:B70)</f>
        <v/>
      </c>
      <c r="D70" s="16">
        <f>IF(A70&lt;$B$5+$B$6,0,MIN($B$9,(A70-($B$5+$B$6))/12*$B$9))</f>
        <v/>
      </c>
      <c r="E70" s="17">
        <f>$B$7*$B$8*D70</f>
        <v/>
      </c>
      <c r="F70" s="17">
        <f>E70*65%</f>
        <v/>
      </c>
      <c r="G70" s="1" t="n"/>
      <c r="H70" s="1" t="n"/>
      <c r="I70" s="1" t="n"/>
      <c r="J70" s="1" t="n"/>
    </row>
    <row r="71" ht="18" customHeight="1">
      <c r="A71" s="2" t="n">
        <v>55</v>
      </c>
      <c r="B71" s="17">
        <f>IF(AND($B$4=1,A71&gt;=$B$5,A71&lt;$B$5+$B$6),($B$7*$B$10*(1+$B$11+$B$12))/$B$6,0)</f>
        <v/>
      </c>
      <c r="C71" s="17">
        <f>SUM($B$17:B71)</f>
        <v/>
      </c>
      <c r="D71" s="16">
        <f>IF(A71&lt;$B$5+$B$6,0,MIN($B$9,(A71-($B$5+$B$6))/12*$B$9))</f>
        <v/>
      </c>
      <c r="E71" s="17">
        <f>$B$7*$B$8*D71</f>
        <v/>
      </c>
      <c r="F71" s="17">
        <f>E71*65%</f>
        <v/>
      </c>
      <c r="G71" s="1" t="n"/>
      <c r="H71" s="1" t="n"/>
      <c r="I71" s="1" t="n"/>
      <c r="J71" s="1" t="n"/>
    </row>
    <row r="72" ht="18" customHeight="1">
      <c r="A72" s="2" t="n">
        <v>56</v>
      </c>
      <c r="B72" s="17">
        <f>IF(AND($B$4=1,A72&gt;=$B$5,A72&lt;$B$5+$B$6),($B$7*$B$10*(1+$B$11+$B$12))/$B$6,0)</f>
        <v/>
      </c>
      <c r="C72" s="17">
        <f>SUM($B$17:B72)</f>
        <v/>
      </c>
      <c r="D72" s="16">
        <f>IF(A72&lt;$B$5+$B$6,0,MIN($B$9,(A72-($B$5+$B$6))/12*$B$9))</f>
        <v/>
      </c>
      <c r="E72" s="17">
        <f>$B$7*$B$8*D72</f>
        <v/>
      </c>
      <c r="F72" s="17">
        <f>E72*65%</f>
        <v/>
      </c>
      <c r="G72" s="1" t="n"/>
      <c r="H72" s="1" t="n"/>
      <c r="I72" s="1" t="n"/>
      <c r="J72" s="1" t="n"/>
    </row>
    <row r="73" ht="18" customHeight="1">
      <c r="A73" s="2" t="n">
        <v>57</v>
      </c>
      <c r="B73" s="17">
        <f>IF(AND($B$4=1,A73&gt;=$B$5,A73&lt;$B$5+$B$6),($B$7*$B$10*(1+$B$11+$B$12))/$B$6,0)</f>
        <v/>
      </c>
      <c r="C73" s="17">
        <f>SUM($B$17:B73)</f>
        <v/>
      </c>
      <c r="D73" s="16">
        <f>IF(A73&lt;$B$5+$B$6,0,MIN($B$9,(A73-($B$5+$B$6))/12*$B$9))</f>
        <v/>
      </c>
      <c r="E73" s="17">
        <f>$B$7*$B$8*D73</f>
        <v/>
      </c>
      <c r="F73" s="17">
        <f>E73*65%</f>
        <v/>
      </c>
      <c r="G73" s="1" t="n"/>
      <c r="H73" s="1" t="n"/>
      <c r="I73" s="1" t="n"/>
      <c r="J73" s="1" t="n"/>
    </row>
    <row r="74" ht="18" customHeight="1">
      <c r="A74" s="2" t="n">
        <v>58</v>
      </c>
      <c r="B74" s="17">
        <f>IF(AND($B$4=1,A74&gt;=$B$5,A74&lt;$B$5+$B$6),($B$7*$B$10*(1+$B$11+$B$12))/$B$6,0)</f>
        <v/>
      </c>
      <c r="C74" s="17">
        <f>SUM($B$17:B74)</f>
        <v/>
      </c>
      <c r="D74" s="16">
        <f>IF(A74&lt;$B$5+$B$6,0,MIN($B$9,(A74-($B$5+$B$6))/12*$B$9))</f>
        <v/>
      </c>
      <c r="E74" s="17">
        <f>$B$7*$B$8*D74</f>
        <v/>
      </c>
      <c r="F74" s="17">
        <f>E74*65%</f>
        <v/>
      </c>
      <c r="G74" s="1" t="n"/>
      <c r="H74" s="1" t="n"/>
      <c r="I74" s="1" t="n"/>
      <c r="J74" s="1" t="n"/>
    </row>
    <row r="75" ht="18" customHeight="1">
      <c r="A75" s="2" t="n">
        <v>59</v>
      </c>
      <c r="B75" s="17">
        <f>IF(AND($B$4=1,A75&gt;=$B$5,A75&lt;$B$5+$B$6),($B$7*$B$10*(1+$B$11+$B$12))/$B$6,0)</f>
        <v/>
      </c>
      <c r="C75" s="17">
        <f>SUM($B$17:B75)</f>
        <v/>
      </c>
      <c r="D75" s="16">
        <f>IF(A75&lt;$B$5+$B$6,0,MIN($B$9,(A75-($B$5+$B$6))/12*$B$9))</f>
        <v/>
      </c>
      <c r="E75" s="17">
        <f>$B$7*$B$8*D75</f>
        <v/>
      </c>
      <c r="F75" s="17">
        <f>E75*65%</f>
        <v/>
      </c>
      <c r="G75" s="1" t="n"/>
      <c r="H75" s="1" t="n"/>
      <c r="I75" s="1" t="n"/>
      <c r="J75" s="1" t="n"/>
    </row>
    <row r="76" ht="18" customHeight="1">
      <c r="A76" s="2" t="n">
        <v>60</v>
      </c>
      <c r="B76" s="17">
        <f>IF(AND($B$4=1,A76&gt;=$B$5,A76&lt;$B$5+$B$6),($B$7*$B$10*(1+$B$11+$B$12))/$B$6,0)</f>
        <v/>
      </c>
      <c r="C76" s="17">
        <f>SUM($B$17:B76)</f>
        <v/>
      </c>
      <c r="D76" s="16">
        <f>IF(A76&lt;$B$5+$B$6,0,MIN($B$9,(A76-($B$5+$B$6))/12*$B$9))</f>
        <v/>
      </c>
      <c r="E76" s="17">
        <f>$B$7*$B$8*D76</f>
        <v/>
      </c>
      <c r="F76" s="17">
        <f>E76*65%</f>
        <v/>
      </c>
      <c r="G76" s="1" t="n"/>
      <c r="H76" s="1" t="n"/>
      <c r="I76" s="1" t="n"/>
      <c r="J76" s="1" t="n"/>
    </row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2">
    <mergeCell ref="A1:J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selection activeCell="A1" sqref="A1:L1"/>
    </sheetView>
  </sheetViews>
  <sheetFormatPr baseColWidth="8" defaultRowHeight="14.4"/>
  <cols>
    <col width="34" customWidth="1" min="1" max="1"/>
    <col width="15" customWidth="1" min="2" max="29"/>
  </cols>
  <sheetData>
    <row r="1" ht="18" customHeight="1">
      <c r="A1" s="58" t="inlineStr">
        <is>
          <t>Debt Schedule / Refinance Scenario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56" t="inlineStr">
        <is>
          <t>Initial Debt Sizing</t>
        </is>
      </c>
    </row>
    <row r="4" ht="18" customHeight="1">
      <c r="A4" s="2" t="inlineStr">
        <is>
          <t>Total Project Cost</t>
        </is>
      </c>
      <c r="B4" s="4">
        <f>Inputs!B4*(1+Inputs!B5)+Inputs!B6+Inputs!B7*Inputs!B4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8" customHeight="1">
      <c r="A5" s="2" t="inlineStr">
        <is>
          <t>Initial Loan Amount</t>
        </is>
      </c>
      <c r="B5" s="4">
        <f>IF(Inputs!$B$49="Yes",0,Inputs!B4*Inputs!B25)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8" customHeight="1">
      <c r="A6" s="2" t="inlineStr">
        <is>
          <t>Initial Equity Required</t>
        </is>
      </c>
      <c r="B6" s="17">
        <f>B4-B5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18" customHeight="1">
      <c r="A7" s="2" t="inlineStr">
        <is>
          <t>Annual Debt Service</t>
        </is>
      </c>
      <c r="B7" s="4">
        <f>IF(Inputs!$B$49="Yes",0,PMT(Inputs!B27/12,Inputs!B28*12,-B5)*12)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18" customHeight="1">
      <c r="A8" s="2" t="inlineStr">
        <is>
          <t>Debt Yield - Year 1</t>
        </is>
      </c>
      <c r="B8" s="5">
        <f>IF(OR(Inputs!$B$49="Yes",$B$5=0),"N/A",'Operating Expenses'!B17/$B$5)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18" customHeight="1">
      <c r="A9" s="2" t="inlineStr">
        <is>
          <t>DSCR - Year 1</t>
        </is>
      </c>
      <c r="B9" s="5">
        <f>IF(OR(Inputs!$B$49="Yes",$B$7=0),"N/A",'Operating Expenses'!B17/$B$7)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18" customHeight="1">
      <c r="A10" s="2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8" customHeight="1">
      <c r="A11" s="63" t="inlineStr">
        <is>
          <t>Debt Toggle</t>
        </is>
      </c>
      <c r="B11" s="63">
        <f>Inputs!B50</f>
        <v/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18" customHeight="1">
      <c r="A12" s="2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8" customHeight="1">
      <c r="A13" s="14" t="inlineStr">
        <is>
          <t>Month</t>
        </is>
      </c>
      <c r="B13" s="15" t="inlineStr">
        <is>
          <t>Beginning Loan</t>
        </is>
      </c>
      <c r="C13" s="15" t="inlineStr">
        <is>
          <t>Scheduled Debt Service</t>
        </is>
      </c>
      <c r="D13" s="15" t="inlineStr">
        <is>
          <t>Interest</t>
        </is>
      </c>
      <c r="E13" s="15" t="inlineStr">
        <is>
          <t>Principal</t>
        </is>
      </c>
      <c r="F13" s="15" t="inlineStr">
        <is>
          <t>Ending Loan</t>
        </is>
      </c>
      <c r="G13" s="15" t="inlineStr">
        <is>
          <t>Refi Value</t>
        </is>
      </c>
      <c r="H13" s="15" t="inlineStr">
        <is>
          <t>Refi Loan</t>
        </is>
      </c>
      <c r="I13" s="15" t="inlineStr">
        <is>
          <t>Refi Proceeds</t>
        </is>
      </c>
      <c r="J13" s="15" t="inlineStr">
        <is>
          <t>Active Loan Balance</t>
        </is>
      </c>
      <c r="K13" s="1" t="n"/>
      <c r="L13" s="1" t="n"/>
    </row>
    <row r="14" ht="18" customHeight="1">
      <c r="A14" s="2" t="n">
        <v>1</v>
      </c>
      <c r="B14" s="17">
        <f>IF(Inputs!$B$49="Yes",0,$B$5)</f>
        <v/>
      </c>
      <c r="C14" s="4">
        <f>IF(Inputs!$B$49="Yes",0,IF(A14&lt;Inputs!$B$28,Inputs!$B$26/12*B14,PMT(Inputs!$B$26/12,Inputs!$B$27*12,-B14)))</f>
        <v/>
      </c>
      <c r="D14" s="4">
        <f>IF(Inputs!$B$49="Yes",0,B14*Inputs!$B$26/12)</f>
        <v/>
      </c>
      <c r="E14" s="17">
        <f>IF(Inputs!$B$49="Yes",0,MAX(0,C14-D14))</f>
        <v/>
      </c>
      <c r="F14" s="17">
        <f>IF(Inputs!$B$49="Yes",0,MAX(0,B14-E14))</f>
        <v/>
      </c>
      <c r="G14" s="4">
        <f>IF(Inputs!$B$49="Yes",0,IF(A14=Inputs!$B$30,('Operating Expenses'!D17*4)/Inputs!$B$35,0))</f>
        <v/>
      </c>
      <c r="H14" s="4">
        <f>IF(Inputs!$B$49="Yes",0,IF(A14=Inputs!$B$30,G14*Inputs!$B$31,0))</f>
        <v/>
      </c>
      <c r="I14" s="4">
        <f>IF(Inputs!$B$49="Yes",0,IF(A14=Inputs!$B$30,MAX(0,H14-F14),0))</f>
        <v/>
      </c>
      <c r="J14" s="4">
        <f>IF(Inputs!$B$49="Yes",0,IF(A14=Inputs!$B$30,H14,F14))</f>
        <v/>
      </c>
      <c r="K14" s="1" t="n"/>
      <c r="L14" s="1" t="n"/>
    </row>
    <row r="15" ht="18" customHeight="1">
      <c r="A15" s="2" t="n">
        <v>2</v>
      </c>
      <c r="B15" s="17">
        <f>IF(Inputs!$B$49="Yes",0,J14)</f>
        <v/>
      </c>
      <c r="C15" s="4">
        <f>IF(Inputs!$B$49="Yes",0,IF(A15&lt;Inputs!$B$28,Inputs!$B$26/12*B15,PMT(Inputs!$B$26/12,Inputs!$B$27*12,-B15)))</f>
        <v/>
      </c>
      <c r="D15" s="4">
        <f>IF(Inputs!$B$49="Yes",0,B15*Inputs!$B$26/12)</f>
        <v/>
      </c>
      <c r="E15" s="17">
        <f>IF(Inputs!$B$49="Yes",0,MAX(0,C15-D15))</f>
        <v/>
      </c>
      <c r="F15" s="17">
        <f>IF(Inputs!$B$49="Yes",0,MAX(0,B15-E15))</f>
        <v/>
      </c>
      <c r="G15" s="4">
        <f>IF(Inputs!$B$49="Yes",0,IF(A15=Inputs!$B$30,('Operating Expenses'!D17*4)/Inputs!$B$35,0))</f>
        <v/>
      </c>
      <c r="H15" s="4">
        <f>IF(Inputs!$B$49="Yes",0,IF(A15=Inputs!$B$30,G15*Inputs!$B$31,0))</f>
        <v/>
      </c>
      <c r="I15" s="4">
        <f>IF(Inputs!$B$49="Yes",0,IF(A15=Inputs!$B$30,MAX(0,H15-F15),0))</f>
        <v/>
      </c>
      <c r="J15" s="4">
        <f>IF(Inputs!$B$49="Yes",0,IF(A15=Inputs!$B$30,H15,F15))</f>
        <v/>
      </c>
      <c r="K15" s="1" t="n"/>
      <c r="L15" s="1" t="n"/>
    </row>
    <row r="16" ht="18" customHeight="1">
      <c r="A16" s="2" t="n">
        <v>3</v>
      </c>
      <c r="B16" s="17">
        <f>IF(Inputs!$B$49="Yes",0,J15)</f>
        <v/>
      </c>
      <c r="C16" s="4">
        <f>IF(Inputs!$B$49="Yes",0,IF(A16&lt;Inputs!$B$28,Inputs!$B$26/12*B16,PMT(Inputs!$B$26/12,Inputs!$B$27*12,-B16)))</f>
        <v/>
      </c>
      <c r="D16" s="4">
        <f>IF(Inputs!$B$49="Yes",0,B16*Inputs!$B$26/12)</f>
        <v/>
      </c>
      <c r="E16" s="17">
        <f>IF(Inputs!$B$49="Yes",0,MAX(0,C16-D16))</f>
        <v/>
      </c>
      <c r="F16" s="17">
        <f>IF(Inputs!$B$49="Yes",0,MAX(0,B16-E16))</f>
        <v/>
      </c>
      <c r="G16" s="4">
        <f>IF(Inputs!$B$49="Yes",0,IF(A16=Inputs!$B$30,('Operating Expenses'!D17*4)/Inputs!$B$35,0))</f>
        <v/>
      </c>
      <c r="H16" s="4">
        <f>IF(Inputs!$B$49="Yes",0,IF(A16=Inputs!$B$30,G16*Inputs!$B$31,0))</f>
        <v/>
      </c>
      <c r="I16" s="4">
        <f>IF(Inputs!$B$49="Yes",0,IF(A16=Inputs!$B$30,MAX(0,H16-F16),0))</f>
        <v/>
      </c>
      <c r="J16" s="4">
        <f>IF(Inputs!$B$49="Yes",0,IF(A16=Inputs!$B$30,H16,F16))</f>
        <v/>
      </c>
      <c r="K16" s="1" t="n"/>
      <c r="L16" s="1" t="n"/>
    </row>
    <row r="17" ht="18" customHeight="1">
      <c r="A17" s="2" t="n">
        <v>4</v>
      </c>
      <c r="B17" s="17">
        <f>IF(Inputs!$B$49="Yes",0,J16)</f>
        <v/>
      </c>
      <c r="C17" s="4">
        <f>IF(Inputs!$B$49="Yes",0,IF(A17&lt;Inputs!$B$28,Inputs!$B$26/12*B17,PMT(Inputs!$B$26/12,Inputs!$B$27*12,-B17)))</f>
        <v/>
      </c>
      <c r="D17" s="4">
        <f>IF(Inputs!$B$49="Yes",0,B17*Inputs!$B$26/12)</f>
        <v/>
      </c>
      <c r="E17" s="17">
        <f>IF(Inputs!$B$49="Yes",0,MAX(0,C17-D17))</f>
        <v/>
      </c>
      <c r="F17" s="17">
        <f>IF(Inputs!$B$49="Yes",0,MAX(0,B17-E17))</f>
        <v/>
      </c>
      <c r="G17" s="4">
        <f>IF(Inputs!$B$49="Yes",0,IF(A17=Inputs!$B$30,('Operating Expenses'!D17*4)/Inputs!$B$35,0))</f>
        <v/>
      </c>
      <c r="H17" s="4">
        <f>IF(Inputs!$B$49="Yes",0,IF(A17=Inputs!$B$30,G17*Inputs!$B$31,0))</f>
        <v/>
      </c>
      <c r="I17" s="4">
        <f>IF(Inputs!$B$49="Yes",0,IF(A17=Inputs!$B$30,MAX(0,H17-F17),0))</f>
        <v/>
      </c>
      <c r="J17" s="4">
        <f>IF(Inputs!$B$49="Yes",0,IF(A17=Inputs!$B$30,H17,F17))</f>
        <v/>
      </c>
      <c r="K17" s="1" t="n"/>
      <c r="L17" s="1" t="n"/>
    </row>
    <row r="18" ht="18" customHeight="1">
      <c r="A18" s="2" t="n">
        <v>5</v>
      </c>
      <c r="B18" s="17">
        <f>IF(Inputs!$B$49="Yes",0,J17)</f>
        <v/>
      </c>
      <c r="C18" s="4">
        <f>IF(Inputs!$B$49="Yes",0,IF(A18&lt;Inputs!$B$28,Inputs!$B$26/12*B18,PMT(Inputs!$B$26/12,Inputs!$B$27*12,-B18)))</f>
        <v/>
      </c>
      <c r="D18" s="4">
        <f>IF(Inputs!$B$49="Yes",0,B18*Inputs!$B$26/12)</f>
        <v/>
      </c>
      <c r="E18" s="17">
        <f>IF(Inputs!$B$49="Yes",0,MAX(0,C18-D18))</f>
        <v/>
      </c>
      <c r="F18" s="17">
        <f>IF(Inputs!$B$49="Yes",0,MAX(0,B18-E18))</f>
        <v/>
      </c>
      <c r="G18" s="4">
        <f>IF(Inputs!$B$49="Yes",0,IF(A18=Inputs!$B$30,('Operating Expenses'!D17*4)/Inputs!$B$35,0))</f>
        <v/>
      </c>
      <c r="H18" s="4">
        <f>IF(Inputs!$B$49="Yes",0,IF(A18=Inputs!$B$30,G18*Inputs!$B$31,0))</f>
        <v/>
      </c>
      <c r="I18" s="4">
        <f>IF(Inputs!$B$49="Yes",0,IF(A18=Inputs!$B$30,MAX(0,H18-F18),0))</f>
        <v/>
      </c>
      <c r="J18" s="4">
        <f>IF(Inputs!$B$49="Yes",0,IF(A18=Inputs!$B$30,H18,F18))</f>
        <v/>
      </c>
      <c r="K18" s="1" t="n"/>
      <c r="L18" s="1" t="n"/>
    </row>
    <row r="19" ht="18" customHeight="1">
      <c r="A19" s="2" t="n">
        <v>6</v>
      </c>
      <c r="B19" s="17">
        <f>IF(Inputs!$B$49="Yes",0,J18)</f>
        <v/>
      </c>
      <c r="C19" s="4">
        <f>IF(Inputs!$B$49="Yes",0,IF(A19&lt;Inputs!$B$28,Inputs!$B$26/12*B19,PMT(Inputs!$B$26/12,Inputs!$B$27*12,-B19)))</f>
        <v/>
      </c>
      <c r="D19" s="4">
        <f>IF(Inputs!$B$49="Yes",0,B19*Inputs!$B$26/12)</f>
        <v/>
      </c>
      <c r="E19" s="17">
        <f>IF(Inputs!$B$49="Yes",0,MAX(0,C19-D19))</f>
        <v/>
      </c>
      <c r="F19" s="17">
        <f>IF(Inputs!$B$49="Yes",0,MAX(0,B19-E19))</f>
        <v/>
      </c>
      <c r="G19" s="4">
        <f>IF(Inputs!$B$49="Yes",0,IF(A19=Inputs!$B$30,('Operating Expenses'!D17*4)/Inputs!$B$35,0))</f>
        <v/>
      </c>
      <c r="H19" s="4">
        <f>IF(Inputs!$B$49="Yes",0,IF(A19=Inputs!$B$30,G19*Inputs!$B$31,0))</f>
        <v/>
      </c>
      <c r="I19" s="4">
        <f>IF(Inputs!$B$49="Yes",0,IF(A19=Inputs!$B$30,MAX(0,H19-F19),0))</f>
        <v/>
      </c>
      <c r="J19" s="4">
        <f>IF(Inputs!$B$49="Yes",0,IF(A19=Inputs!$B$30,H19,F19))</f>
        <v/>
      </c>
      <c r="K19" s="1" t="n"/>
      <c r="L19" s="1" t="n"/>
    </row>
    <row r="20" ht="18" customHeight="1">
      <c r="A20" s="2" t="n">
        <v>7</v>
      </c>
      <c r="B20" s="17">
        <f>IF(Inputs!$B$49="Yes",0,J19)</f>
        <v/>
      </c>
      <c r="C20" s="4">
        <f>IF(Inputs!$B$49="Yes",0,IF(A20&lt;Inputs!$B$28,Inputs!$B$26/12*B20,PMT(Inputs!$B$26/12,Inputs!$B$27*12,-B20)))</f>
        <v/>
      </c>
      <c r="D20" s="4">
        <f>IF(Inputs!$B$49="Yes",0,B20*Inputs!$B$26/12)</f>
        <v/>
      </c>
      <c r="E20" s="17">
        <f>IF(Inputs!$B$49="Yes",0,MAX(0,C20-D20))</f>
        <v/>
      </c>
      <c r="F20" s="17">
        <f>IF(Inputs!$B$49="Yes",0,MAX(0,B20-E20))</f>
        <v/>
      </c>
      <c r="G20" s="4">
        <f>IF(Inputs!$B$49="Yes",0,IF(A20=Inputs!$B$30,('Operating Expenses'!D17*4)/Inputs!$B$35,0))</f>
        <v/>
      </c>
      <c r="H20" s="4">
        <f>IF(Inputs!$B$49="Yes",0,IF(A20=Inputs!$B$30,G20*Inputs!$B$31,0))</f>
        <v/>
      </c>
      <c r="I20" s="4">
        <f>IF(Inputs!$B$49="Yes",0,IF(A20=Inputs!$B$30,MAX(0,H20-F20),0))</f>
        <v/>
      </c>
      <c r="J20" s="4">
        <f>IF(Inputs!$B$49="Yes",0,IF(A20=Inputs!$B$30,H20,F20))</f>
        <v/>
      </c>
      <c r="K20" s="1" t="n"/>
      <c r="L20" s="1" t="n"/>
    </row>
    <row r="21" ht="18" customHeight="1">
      <c r="A21" s="2" t="n">
        <v>8</v>
      </c>
      <c r="B21" s="17">
        <f>IF(Inputs!$B$49="Yes",0,J20)</f>
        <v/>
      </c>
      <c r="C21" s="4">
        <f>IF(Inputs!$B$49="Yes",0,IF(A21&lt;Inputs!$B$28,Inputs!$B$26/12*B21,PMT(Inputs!$B$26/12,Inputs!$B$27*12,-B21)))</f>
        <v/>
      </c>
      <c r="D21" s="4">
        <f>IF(Inputs!$B$49="Yes",0,B21*Inputs!$B$26/12)</f>
        <v/>
      </c>
      <c r="E21" s="17">
        <f>IF(Inputs!$B$49="Yes",0,MAX(0,C21-D21))</f>
        <v/>
      </c>
      <c r="F21" s="17">
        <f>IF(Inputs!$B$49="Yes",0,MAX(0,B21-E21))</f>
        <v/>
      </c>
      <c r="G21" s="4">
        <f>IF(Inputs!$B$49="Yes",0,IF(A21=Inputs!$B$30,('Operating Expenses'!D17*4)/Inputs!$B$35,0))</f>
        <v/>
      </c>
      <c r="H21" s="4">
        <f>IF(Inputs!$B$49="Yes",0,IF(A21=Inputs!$B$30,G21*Inputs!$B$31,0))</f>
        <v/>
      </c>
      <c r="I21" s="4">
        <f>IF(Inputs!$B$49="Yes",0,IF(A21=Inputs!$B$30,MAX(0,H21-F21),0))</f>
        <v/>
      </c>
      <c r="J21" s="4">
        <f>IF(Inputs!$B$49="Yes",0,IF(A21=Inputs!$B$30,H21,F21))</f>
        <v/>
      </c>
      <c r="K21" s="1" t="n"/>
      <c r="L21" s="1" t="n"/>
    </row>
    <row r="22" ht="18" customHeight="1">
      <c r="A22" s="2" t="n">
        <v>9</v>
      </c>
      <c r="B22" s="17">
        <f>IF(Inputs!$B$49="Yes",0,J21)</f>
        <v/>
      </c>
      <c r="C22" s="4">
        <f>IF(Inputs!$B$49="Yes",0,IF(A22&lt;Inputs!$B$28,Inputs!$B$26/12*B22,PMT(Inputs!$B$26/12,Inputs!$B$27*12,-B22)))</f>
        <v/>
      </c>
      <c r="D22" s="4">
        <f>IF(Inputs!$B$49="Yes",0,B22*Inputs!$B$26/12)</f>
        <v/>
      </c>
      <c r="E22" s="17">
        <f>IF(Inputs!$B$49="Yes",0,MAX(0,C22-D22))</f>
        <v/>
      </c>
      <c r="F22" s="17">
        <f>IF(Inputs!$B$49="Yes",0,MAX(0,B22-E22))</f>
        <v/>
      </c>
      <c r="G22" s="4">
        <f>IF(Inputs!$B$49="Yes",0,IF(A22=Inputs!$B$30,('Operating Expenses'!D17*4)/Inputs!$B$35,0))</f>
        <v/>
      </c>
      <c r="H22" s="4">
        <f>IF(Inputs!$B$49="Yes",0,IF(A22=Inputs!$B$30,G22*Inputs!$B$31,0))</f>
        <v/>
      </c>
      <c r="I22" s="4">
        <f>IF(Inputs!$B$49="Yes",0,IF(A22=Inputs!$B$30,MAX(0,H22-F22),0))</f>
        <v/>
      </c>
      <c r="J22" s="4">
        <f>IF(Inputs!$B$49="Yes",0,IF(A22=Inputs!$B$30,H22,F22))</f>
        <v/>
      </c>
      <c r="K22" s="1" t="n"/>
      <c r="L22" s="1" t="n"/>
    </row>
    <row r="23" ht="18" customHeight="1">
      <c r="A23" s="2" t="n">
        <v>10</v>
      </c>
      <c r="B23" s="17">
        <f>IF(Inputs!$B$49="Yes",0,J22)</f>
        <v/>
      </c>
      <c r="C23" s="4">
        <f>IF(Inputs!$B$49="Yes",0,IF(A23&lt;Inputs!$B$28,Inputs!$B$26/12*B23,PMT(Inputs!$B$26/12,Inputs!$B$27*12,-B23)))</f>
        <v/>
      </c>
      <c r="D23" s="4">
        <f>IF(Inputs!$B$49="Yes",0,B23*Inputs!$B$26/12)</f>
        <v/>
      </c>
      <c r="E23" s="17">
        <f>IF(Inputs!$B$49="Yes",0,MAX(0,C23-D23))</f>
        <v/>
      </c>
      <c r="F23" s="17">
        <f>IF(Inputs!$B$49="Yes",0,MAX(0,B23-E23))</f>
        <v/>
      </c>
      <c r="G23" s="4">
        <f>IF(Inputs!$B$49="Yes",0,IF(A23=Inputs!$B$30,('Operating Expenses'!D17*4)/Inputs!$B$35,0))</f>
        <v/>
      </c>
      <c r="H23" s="4">
        <f>IF(Inputs!$B$49="Yes",0,IF(A23=Inputs!$B$30,G23*Inputs!$B$31,0))</f>
        <v/>
      </c>
      <c r="I23" s="4">
        <f>IF(Inputs!$B$49="Yes",0,IF(A23=Inputs!$B$30,MAX(0,H23-F23),0))</f>
        <v/>
      </c>
      <c r="J23" s="4">
        <f>IF(Inputs!$B$49="Yes",0,IF(A23=Inputs!$B$30,H23,F23))</f>
        <v/>
      </c>
      <c r="K23" s="1" t="n"/>
      <c r="L23" s="1" t="n"/>
    </row>
    <row r="24" ht="18" customHeight="1">
      <c r="A24" s="2" t="n">
        <v>11</v>
      </c>
      <c r="B24" s="17">
        <f>IF(Inputs!$B$49="Yes",0,J23)</f>
        <v/>
      </c>
      <c r="C24" s="4">
        <f>IF(Inputs!$B$49="Yes",0,IF(A24&lt;Inputs!$B$28,Inputs!$B$26/12*B24,PMT(Inputs!$B$26/12,Inputs!$B$27*12,-B24)))</f>
        <v/>
      </c>
      <c r="D24" s="4">
        <f>IF(Inputs!$B$49="Yes",0,B24*Inputs!$B$26/12)</f>
        <v/>
      </c>
      <c r="E24" s="17">
        <f>IF(Inputs!$B$49="Yes",0,MAX(0,C24-D24))</f>
        <v/>
      </c>
      <c r="F24" s="17">
        <f>IF(Inputs!$B$49="Yes",0,MAX(0,B24-E24))</f>
        <v/>
      </c>
      <c r="G24" s="4">
        <f>IF(Inputs!$B$49="Yes",0,IF(A24=Inputs!$B$30,('Operating Expenses'!D17*4)/Inputs!$B$35,0))</f>
        <v/>
      </c>
      <c r="H24" s="4">
        <f>IF(Inputs!$B$49="Yes",0,IF(A24=Inputs!$B$30,G24*Inputs!$B$31,0))</f>
        <v/>
      </c>
      <c r="I24" s="4">
        <f>IF(Inputs!$B$49="Yes",0,IF(A24=Inputs!$B$30,MAX(0,H24-F24),0))</f>
        <v/>
      </c>
      <c r="J24" s="4">
        <f>IF(Inputs!$B$49="Yes",0,IF(A24=Inputs!$B$30,H24,F24))</f>
        <v/>
      </c>
      <c r="K24" s="1" t="n"/>
      <c r="L24" s="1" t="n"/>
    </row>
    <row r="25" ht="18" customHeight="1">
      <c r="A25" s="2" t="n">
        <v>12</v>
      </c>
      <c r="B25" s="17">
        <f>IF(Inputs!$B$49="Yes",0,J24)</f>
        <v/>
      </c>
      <c r="C25" s="4">
        <f>IF(Inputs!$B$49="Yes",0,IF(A25&lt;Inputs!$B$28,Inputs!$B$26/12*B25,PMT(Inputs!$B$26/12,Inputs!$B$27*12,-B25)))</f>
        <v/>
      </c>
      <c r="D25" s="4">
        <f>IF(Inputs!$B$49="Yes",0,B25*Inputs!$B$26/12)</f>
        <v/>
      </c>
      <c r="E25" s="17">
        <f>IF(Inputs!$B$49="Yes",0,MAX(0,C25-D25))</f>
        <v/>
      </c>
      <c r="F25" s="17">
        <f>IF(Inputs!$B$49="Yes",0,MAX(0,B25-E25))</f>
        <v/>
      </c>
      <c r="G25" s="4">
        <f>IF(Inputs!$B$49="Yes",0,IF(A25=Inputs!$B$30,('Operating Expenses'!D17*4)/Inputs!$B$35,0))</f>
        <v/>
      </c>
      <c r="H25" s="4">
        <f>IF(Inputs!$B$49="Yes",0,IF(A25=Inputs!$B$30,G25*Inputs!$B$31,0))</f>
        <v/>
      </c>
      <c r="I25" s="4">
        <f>IF(Inputs!$B$49="Yes",0,IF(A25=Inputs!$B$30,MAX(0,H25-F25),0))</f>
        <v/>
      </c>
      <c r="J25" s="4">
        <f>IF(Inputs!$B$49="Yes",0,IF(A25=Inputs!$B$30,H25,F25))</f>
        <v/>
      </c>
      <c r="K25" s="1" t="n"/>
      <c r="L25" s="1" t="n"/>
    </row>
    <row r="26" ht="18" customHeight="1">
      <c r="A26" s="2" t="n">
        <v>13</v>
      </c>
      <c r="B26" s="17">
        <f>IF(Inputs!$B$49="Yes",0,J25)</f>
        <v/>
      </c>
      <c r="C26" s="4">
        <f>IF(Inputs!$B$49="Yes",0,IF(A26&lt;Inputs!$B$28,Inputs!$B$26/12*B26,PMT(Inputs!$B$26/12,Inputs!$B$27*12,-B26)))</f>
        <v/>
      </c>
      <c r="D26" s="4">
        <f>IF(Inputs!$B$49="Yes",0,B26*Inputs!$B$26/12)</f>
        <v/>
      </c>
      <c r="E26" s="17">
        <f>IF(Inputs!$B$49="Yes",0,MAX(0,C26-D26))</f>
        <v/>
      </c>
      <c r="F26" s="17">
        <f>IF(Inputs!$B$49="Yes",0,MAX(0,B26-E26))</f>
        <v/>
      </c>
      <c r="G26" s="4">
        <f>IF(Inputs!$B$49="Yes",0,IF(A26=Inputs!$B$30,('Operating Expenses'!D17*4)/Inputs!$B$35,0))</f>
        <v/>
      </c>
      <c r="H26" s="4">
        <f>IF(Inputs!$B$49="Yes",0,IF(A26=Inputs!$B$30,G26*Inputs!$B$31,0))</f>
        <v/>
      </c>
      <c r="I26" s="4">
        <f>IF(Inputs!$B$49="Yes",0,IF(A26=Inputs!$B$30,MAX(0,H26-F26),0))</f>
        <v/>
      </c>
      <c r="J26" s="4">
        <f>IF(Inputs!$B$49="Yes",0,IF(A26=Inputs!$B$30,H26,F26))</f>
        <v/>
      </c>
      <c r="K26" s="1" t="n"/>
      <c r="L26" s="1" t="n"/>
    </row>
    <row r="27" ht="18" customHeight="1">
      <c r="A27" s="2" t="n">
        <v>14</v>
      </c>
      <c r="B27" s="17">
        <f>IF(Inputs!$B$49="Yes",0,J26)</f>
        <v/>
      </c>
      <c r="C27" s="4">
        <f>IF(Inputs!$B$49="Yes",0,IF(A27&lt;Inputs!$B$28,Inputs!$B$26/12*B27,PMT(Inputs!$B$26/12,Inputs!$B$27*12,-B27)))</f>
        <v/>
      </c>
      <c r="D27" s="4">
        <f>IF(Inputs!$B$49="Yes",0,B27*Inputs!$B$26/12)</f>
        <v/>
      </c>
      <c r="E27" s="17">
        <f>IF(Inputs!$B$49="Yes",0,MAX(0,C27-D27))</f>
        <v/>
      </c>
      <c r="F27" s="17">
        <f>IF(Inputs!$B$49="Yes",0,MAX(0,B27-E27))</f>
        <v/>
      </c>
      <c r="G27" s="4">
        <f>IF(Inputs!$B$49="Yes",0,IF(A27=Inputs!$B$30,('Operating Expenses'!D17*4)/Inputs!$B$35,0))</f>
        <v/>
      </c>
      <c r="H27" s="4">
        <f>IF(Inputs!$B$49="Yes",0,IF(A27=Inputs!$B$30,G27*Inputs!$B$31,0))</f>
        <v/>
      </c>
      <c r="I27" s="4">
        <f>IF(Inputs!$B$49="Yes",0,IF(A27=Inputs!$B$30,MAX(0,H27-F27),0))</f>
        <v/>
      </c>
      <c r="J27" s="4">
        <f>IF(Inputs!$B$49="Yes",0,IF(A27=Inputs!$B$30,H27,F27))</f>
        <v/>
      </c>
      <c r="K27" s="1" t="n"/>
      <c r="L27" s="1" t="n"/>
    </row>
    <row r="28" ht="18" customHeight="1">
      <c r="A28" s="2" t="n">
        <v>15</v>
      </c>
      <c r="B28" s="17">
        <f>IF(Inputs!$B$49="Yes",0,J27)</f>
        <v/>
      </c>
      <c r="C28" s="4">
        <f>IF(Inputs!$B$49="Yes",0,IF(A28&lt;Inputs!$B$28,Inputs!$B$26/12*B28,PMT(Inputs!$B$26/12,Inputs!$B$27*12,-B28)))</f>
        <v/>
      </c>
      <c r="D28" s="4">
        <f>IF(Inputs!$B$49="Yes",0,B28*Inputs!$B$26/12)</f>
        <v/>
      </c>
      <c r="E28" s="17">
        <f>IF(Inputs!$B$49="Yes",0,MAX(0,C28-D28))</f>
        <v/>
      </c>
      <c r="F28" s="17">
        <f>IF(Inputs!$B$49="Yes",0,MAX(0,B28-E28))</f>
        <v/>
      </c>
      <c r="G28" s="4">
        <f>IF(Inputs!$B$49="Yes",0,IF(A28=Inputs!$B$30,('Operating Expenses'!D17*4)/Inputs!$B$35,0))</f>
        <v/>
      </c>
      <c r="H28" s="4">
        <f>IF(Inputs!$B$49="Yes",0,IF(A28=Inputs!$B$30,G28*Inputs!$B$31,0))</f>
        <v/>
      </c>
      <c r="I28" s="4">
        <f>IF(Inputs!$B$49="Yes",0,IF(A28=Inputs!$B$30,MAX(0,H28-F28),0))</f>
        <v/>
      </c>
      <c r="J28" s="4">
        <f>IF(Inputs!$B$49="Yes",0,IF(A28=Inputs!$B$30,H28,F28))</f>
        <v/>
      </c>
      <c r="K28" s="1" t="n"/>
      <c r="L28" s="1" t="n"/>
    </row>
    <row r="29" ht="18" customHeight="1">
      <c r="A29" s="2" t="n">
        <v>16</v>
      </c>
      <c r="B29" s="17">
        <f>IF(Inputs!$B$49="Yes",0,J28)</f>
        <v/>
      </c>
      <c r="C29" s="4">
        <f>IF(Inputs!$B$49="Yes",0,IF(A29&lt;Inputs!$B$28,Inputs!$B$26/12*B29,PMT(Inputs!$B$26/12,Inputs!$B$27*12,-B29)))</f>
        <v/>
      </c>
      <c r="D29" s="4">
        <f>IF(Inputs!$B$49="Yes",0,B29*Inputs!$B$26/12)</f>
        <v/>
      </c>
      <c r="E29" s="17">
        <f>IF(Inputs!$B$49="Yes",0,MAX(0,C29-D29))</f>
        <v/>
      </c>
      <c r="F29" s="17">
        <f>IF(Inputs!$B$49="Yes",0,MAX(0,B29-E29))</f>
        <v/>
      </c>
      <c r="G29" s="4">
        <f>IF(Inputs!$B$49="Yes",0,IF(A29=Inputs!$B$30,('Operating Expenses'!D17*4)/Inputs!$B$35,0))</f>
        <v/>
      </c>
      <c r="H29" s="4">
        <f>IF(Inputs!$B$49="Yes",0,IF(A29=Inputs!$B$30,G29*Inputs!$B$31,0))</f>
        <v/>
      </c>
      <c r="I29" s="4">
        <f>IF(Inputs!$B$49="Yes",0,IF(A29=Inputs!$B$30,MAX(0,H29-F29),0))</f>
        <v/>
      </c>
      <c r="J29" s="4">
        <f>IF(Inputs!$B$49="Yes",0,IF(A29=Inputs!$B$30,H29,F29))</f>
        <v/>
      </c>
      <c r="K29" s="1" t="n"/>
      <c r="L29" s="1" t="n"/>
    </row>
    <row r="30" ht="18" customHeight="1">
      <c r="A30" s="2" t="n">
        <v>17</v>
      </c>
      <c r="B30" s="17">
        <f>IF(Inputs!$B$49="Yes",0,J29)</f>
        <v/>
      </c>
      <c r="C30" s="4">
        <f>IF(Inputs!$B$49="Yes",0,IF(A30&lt;Inputs!$B$28,Inputs!$B$26/12*B30,PMT(Inputs!$B$26/12,Inputs!$B$27*12,-B30)))</f>
        <v/>
      </c>
      <c r="D30" s="4">
        <f>IF(Inputs!$B$49="Yes",0,B30*Inputs!$B$26/12)</f>
        <v/>
      </c>
      <c r="E30" s="17">
        <f>IF(Inputs!$B$49="Yes",0,MAX(0,C30-D30))</f>
        <v/>
      </c>
      <c r="F30" s="17">
        <f>IF(Inputs!$B$49="Yes",0,MAX(0,B30-E30))</f>
        <v/>
      </c>
      <c r="G30" s="4">
        <f>IF(Inputs!$B$49="Yes",0,IF(A30=Inputs!$B$30,('Operating Expenses'!D17*4)/Inputs!$B$35,0))</f>
        <v/>
      </c>
      <c r="H30" s="4">
        <f>IF(Inputs!$B$49="Yes",0,IF(A30=Inputs!$B$30,G30*Inputs!$B$31,0))</f>
        <v/>
      </c>
      <c r="I30" s="4">
        <f>IF(Inputs!$B$49="Yes",0,IF(A30=Inputs!$B$30,MAX(0,H30-F30),0))</f>
        <v/>
      </c>
      <c r="J30" s="4">
        <f>IF(Inputs!$B$49="Yes",0,IF(A30=Inputs!$B$30,H30,F30))</f>
        <v/>
      </c>
      <c r="K30" s="1" t="n"/>
      <c r="L30" s="1" t="n"/>
    </row>
    <row r="31" ht="18" customHeight="1">
      <c r="A31" s="2" t="n">
        <v>18</v>
      </c>
      <c r="B31" s="17">
        <f>IF(Inputs!$B$49="Yes",0,J30)</f>
        <v/>
      </c>
      <c r="C31" s="4">
        <f>IF(Inputs!$B$49="Yes",0,IF(A31&lt;Inputs!$B$28,Inputs!$B$26/12*B31,PMT(Inputs!$B$26/12,Inputs!$B$27*12,-B31)))</f>
        <v/>
      </c>
      <c r="D31" s="4">
        <f>IF(Inputs!$B$49="Yes",0,B31*Inputs!$B$26/12)</f>
        <v/>
      </c>
      <c r="E31" s="17">
        <f>IF(Inputs!$B$49="Yes",0,MAX(0,C31-D31))</f>
        <v/>
      </c>
      <c r="F31" s="17">
        <f>IF(Inputs!$B$49="Yes",0,MAX(0,B31-E31))</f>
        <v/>
      </c>
      <c r="G31" s="4">
        <f>IF(Inputs!$B$49="Yes",0,IF(A31=Inputs!$B$30,('Operating Expenses'!D17*4)/Inputs!$B$35,0))</f>
        <v/>
      </c>
      <c r="H31" s="4">
        <f>IF(Inputs!$B$49="Yes",0,IF(A31=Inputs!$B$30,G31*Inputs!$B$31,0))</f>
        <v/>
      </c>
      <c r="I31" s="4">
        <f>IF(Inputs!$B$49="Yes",0,IF(A31=Inputs!$B$30,MAX(0,H31-F31),0))</f>
        <v/>
      </c>
      <c r="J31" s="4">
        <f>IF(Inputs!$B$49="Yes",0,IF(A31=Inputs!$B$30,H31,F31))</f>
        <v/>
      </c>
      <c r="K31" s="1" t="n"/>
      <c r="L31" s="1" t="n"/>
    </row>
    <row r="32" ht="18" customHeight="1">
      <c r="A32" s="2" t="n">
        <v>19</v>
      </c>
      <c r="B32" s="17">
        <f>IF(Inputs!$B$49="Yes",0,J31)</f>
        <v/>
      </c>
      <c r="C32" s="4">
        <f>IF(Inputs!$B$49="Yes",0,IF(A32&lt;Inputs!$B$28,Inputs!$B$26/12*B32,PMT(Inputs!$B$26/12,Inputs!$B$27*12,-B32)))</f>
        <v/>
      </c>
      <c r="D32" s="4">
        <f>IF(Inputs!$B$49="Yes",0,B32*Inputs!$B$26/12)</f>
        <v/>
      </c>
      <c r="E32" s="17">
        <f>IF(Inputs!$B$49="Yes",0,MAX(0,C32-D32))</f>
        <v/>
      </c>
      <c r="F32" s="17">
        <f>IF(Inputs!$B$49="Yes",0,MAX(0,B32-E32))</f>
        <v/>
      </c>
      <c r="G32" s="4">
        <f>IF(Inputs!$B$49="Yes",0,IF(A32=Inputs!$B$30,('Operating Expenses'!D17*4)/Inputs!$B$35,0))</f>
        <v/>
      </c>
      <c r="H32" s="4">
        <f>IF(Inputs!$B$49="Yes",0,IF(A32=Inputs!$B$30,G32*Inputs!$B$31,0))</f>
        <v/>
      </c>
      <c r="I32" s="4">
        <f>IF(Inputs!$B$49="Yes",0,IF(A32=Inputs!$B$30,MAX(0,H32-F32),0))</f>
        <v/>
      </c>
      <c r="J32" s="4">
        <f>IF(Inputs!$B$49="Yes",0,IF(A32=Inputs!$B$30,H32,F32))</f>
        <v/>
      </c>
      <c r="K32" s="1" t="n"/>
      <c r="L32" s="1" t="n"/>
    </row>
    <row r="33" ht="18" customHeight="1">
      <c r="A33" s="2" t="n">
        <v>20</v>
      </c>
      <c r="B33" s="17">
        <f>IF(Inputs!$B$49="Yes",0,J32)</f>
        <v/>
      </c>
      <c r="C33" s="4">
        <f>IF(Inputs!$B$49="Yes",0,IF(A33&lt;Inputs!$B$28,Inputs!$B$26/12*B33,PMT(Inputs!$B$26/12,Inputs!$B$27*12,-B33)))</f>
        <v/>
      </c>
      <c r="D33" s="4">
        <f>IF(Inputs!$B$49="Yes",0,B33*Inputs!$B$26/12)</f>
        <v/>
      </c>
      <c r="E33" s="17">
        <f>IF(Inputs!$B$49="Yes",0,MAX(0,C33-D33))</f>
        <v/>
      </c>
      <c r="F33" s="17">
        <f>IF(Inputs!$B$49="Yes",0,MAX(0,B33-E33))</f>
        <v/>
      </c>
      <c r="G33" s="4">
        <f>IF(Inputs!$B$49="Yes",0,IF(A33=Inputs!$B$30,('Operating Expenses'!D17*4)/Inputs!$B$35,0))</f>
        <v/>
      </c>
      <c r="H33" s="4">
        <f>IF(Inputs!$B$49="Yes",0,IF(A33=Inputs!$B$30,G33*Inputs!$B$31,0))</f>
        <v/>
      </c>
      <c r="I33" s="4">
        <f>IF(Inputs!$B$49="Yes",0,IF(A33=Inputs!$B$30,MAX(0,H33-F33),0))</f>
        <v/>
      </c>
      <c r="J33" s="4">
        <f>IF(Inputs!$B$49="Yes",0,IF(A33=Inputs!$B$30,H33,F33))</f>
        <v/>
      </c>
      <c r="K33" s="1" t="n"/>
      <c r="L33" s="1" t="n"/>
    </row>
    <row r="34" ht="18" customHeight="1">
      <c r="A34" s="2" t="n">
        <v>21</v>
      </c>
      <c r="B34" s="17">
        <f>IF(Inputs!$B$49="Yes",0,J33)</f>
        <v/>
      </c>
      <c r="C34" s="4">
        <f>IF(Inputs!$B$49="Yes",0,IF(A34&lt;Inputs!$B$28,Inputs!$B$26/12*B34,PMT(Inputs!$B$26/12,Inputs!$B$27*12,-B34)))</f>
        <v/>
      </c>
      <c r="D34" s="4">
        <f>IF(Inputs!$B$49="Yes",0,B34*Inputs!$B$26/12)</f>
        <v/>
      </c>
      <c r="E34" s="17">
        <f>IF(Inputs!$B$49="Yes",0,MAX(0,C34-D34))</f>
        <v/>
      </c>
      <c r="F34" s="17">
        <f>IF(Inputs!$B$49="Yes",0,MAX(0,B34-E34))</f>
        <v/>
      </c>
      <c r="G34" s="4">
        <f>IF(Inputs!$B$49="Yes",0,IF(A34=Inputs!$B$30,('Operating Expenses'!D17*4)/Inputs!$B$35,0))</f>
        <v/>
      </c>
      <c r="H34" s="4">
        <f>IF(Inputs!$B$49="Yes",0,IF(A34=Inputs!$B$30,G34*Inputs!$B$31,0))</f>
        <v/>
      </c>
      <c r="I34" s="4">
        <f>IF(Inputs!$B$49="Yes",0,IF(A34=Inputs!$B$30,MAX(0,H34-F34),0))</f>
        <v/>
      </c>
      <c r="J34" s="4">
        <f>IF(Inputs!$B$49="Yes",0,IF(A34=Inputs!$B$30,H34,F34))</f>
        <v/>
      </c>
      <c r="K34" s="1" t="n"/>
      <c r="L34" s="1" t="n"/>
    </row>
    <row r="35" ht="18" customHeight="1">
      <c r="A35" s="2" t="n">
        <v>22</v>
      </c>
      <c r="B35" s="17">
        <f>IF(Inputs!$B$49="Yes",0,J34)</f>
        <v/>
      </c>
      <c r="C35" s="4">
        <f>IF(Inputs!$B$49="Yes",0,IF(A35&lt;Inputs!$B$28,Inputs!$B$26/12*B35,PMT(Inputs!$B$26/12,Inputs!$B$27*12,-B35)))</f>
        <v/>
      </c>
      <c r="D35" s="4">
        <f>IF(Inputs!$B$49="Yes",0,B35*Inputs!$B$26/12)</f>
        <v/>
      </c>
      <c r="E35" s="17">
        <f>IF(Inputs!$B$49="Yes",0,MAX(0,C35-D35))</f>
        <v/>
      </c>
      <c r="F35" s="17">
        <f>IF(Inputs!$B$49="Yes",0,MAX(0,B35-E35))</f>
        <v/>
      </c>
      <c r="G35" s="4">
        <f>IF(Inputs!$B$49="Yes",0,IF(A35=Inputs!$B$30,('Operating Expenses'!D17*4)/Inputs!$B$35,0))</f>
        <v/>
      </c>
      <c r="H35" s="4">
        <f>IF(Inputs!$B$49="Yes",0,IF(A35=Inputs!$B$30,G35*Inputs!$B$31,0))</f>
        <v/>
      </c>
      <c r="I35" s="4">
        <f>IF(Inputs!$B$49="Yes",0,IF(A35=Inputs!$B$30,MAX(0,H35-F35),0))</f>
        <v/>
      </c>
      <c r="J35" s="4">
        <f>IF(Inputs!$B$49="Yes",0,IF(A35=Inputs!$B$30,H35,F35))</f>
        <v/>
      </c>
      <c r="K35" s="1" t="n"/>
      <c r="L35" s="1" t="n"/>
    </row>
    <row r="36" ht="18" customHeight="1">
      <c r="A36" s="2" t="n">
        <v>23</v>
      </c>
      <c r="B36" s="17">
        <f>IF(Inputs!$B$49="Yes",0,J35)</f>
        <v/>
      </c>
      <c r="C36" s="4">
        <f>IF(Inputs!$B$49="Yes",0,IF(A36&lt;Inputs!$B$28,Inputs!$B$26/12*B36,PMT(Inputs!$B$26/12,Inputs!$B$27*12,-B36)))</f>
        <v/>
      </c>
      <c r="D36" s="4">
        <f>IF(Inputs!$B$49="Yes",0,B36*Inputs!$B$26/12)</f>
        <v/>
      </c>
      <c r="E36" s="17">
        <f>IF(Inputs!$B$49="Yes",0,MAX(0,C36-D36))</f>
        <v/>
      </c>
      <c r="F36" s="17">
        <f>IF(Inputs!$B$49="Yes",0,MAX(0,B36-E36))</f>
        <v/>
      </c>
      <c r="G36" s="4">
        <f>IF(Inputs!$B$49="Yes",0,IF(A36=Inputs!$B$30,('Operating Expenses'!D17*4)/Inputs!$B$35,0))</f>
        <v/>
      </c>
      <c r="H36" s="4">
        <f>IF(Inputs!$B$49="Yes",0,IF(A36=Inputs!$B$30,G36*Inputs!$B$31,0))</f>
        <v/>
      </c>
      <c r="I36" s="4">
        <f>IF(Inputs!$B$49="Yes",0,IF(A36=Inputs!$B$30,MAX(0,H36-F36),0))</f>
        <v/>
      </c>
      <c r="J36" s="4">
        <f>IF(Inputs!$B$49="Yes",0,IF(A36=Inputs!$B$30,H36,F36))</f>
        <v/>
      </c>
      <c r="K36" s="1" t="n"/>
      <c r="L36" s="1" t="n"/>
    </row>
    <row r="37" ht="18" customHeight="1">
      <c r="A37" s="2" t="n">
        <v>24</v>
      </c>
      <c r="B37" s="17">
        <f>IF(Inputs!$B$49="Yes",0,J36)</f>
        <v/>
      </c>
      <c r="C37" s="4">
        <f>IF(Inputs!$B$49="Yes",0,IF(A37&lt;Inputs!$B$28,Inputs!$B$26/12*B37,PMT(Inputs!$B$26/12,Inputs!$B$27*12,-B37)))</f>
        <v/>
      </c>
      <c r="D37" s="4">
        <f>IF(Inputs!$B$49="Yes",0,B37*Inputs!$B$26/12)</f>
        <v/>
      </c>
      <c r="E37" s="17">
        <f>IF(Inputs!$B$49="Yes",0,MAX(0,C37-D37))</f>
        <v/>
      </c>
      <c r="F37" s="17">
        <f>IF(Inputs!$B$49="Yes",0,MAX(0,B37-E37))</f>
        <v/>
      </c>
      <c r="G37" s="4">
        <f>IF(Inputs!$B$49="Yes",0,IF(A37=Inputs!$B$30,('Operating Expenses'!D17*4)/Inputs!$B$35,0))</f>
        <v/>
      </c>
      <c r="H37" s="4">
        <f>IF(Inputs!$B$49="Yes",0,IF(A37=Inputs!$B$30,G37*Inputs!$B$31,0))</f>
        <v/>
      </c>
      <c r="I37" s="4">
        <f>IF(Inputs!$B$49="Yes",0,IF(A37=Inputs!$B$30,MAX(0,H37-F37),0))</f>
        <v/>
      </c>
      <c r="J37" s="4">
        <f>IF(Inputs!$B$49="Yes",0,IF(A37=Inputs!$B$30,H37,F37))</f>
        <v/>
      </c>
      <c r="K37" s="1" t="n"/>
      <c r="L37" s="1" t="n"/>
    </row>
    <row r="38" ht="18" customHeight="1">
      <c r="A38" s="2" t="n">
        <v>25</v>
      </c>
      <c r="B38" s="17">
        <f>IF(Inputs!$B$49="Yes",0,J37)</f>
        <v/>
      </c>
      <c r="C38" s="4">
        <f>IF(Inputs!$B$49="Yes",0,IF(A38&lt;Inputs!$B$28,Inputs!$B$26/12*B38,PMT(Inputs!$B$26/12,Inputs!$B$27*12,-B38)))</f>
        <v/>
      </c>
      <c r="D38" s="4">
        <f>IF(Inputs!$B$49="Yes",0,B38*Inputs!$B$26/12)</f>
        <v/>
      </c>
      <c r="E38" s="17">
        <f>IF(Inputs!$B$49="Yes",0,MAX(0,C38-D38))</f>
        <v/>
      </c>
      <c r="F38" s="17">
        <f>IF(Inputs!$B$49="Yes",0,MAX(0,B38-E38))</f>
        <v/>
      </c>
      <c r="G38" s="4">
        <f>IF(Inputs!$B$49="Yes",0,IF(A38=Inputs!$B$30,('Operating Expenses'!D17*4)/Inputs!$B$35,0))</f>
        <v/>
      </c>
      <c r="H38" s="4">
        <f>IF(Inputs!$B$49="Yes",0,IF(A38=Inputs!$B$30,G38*Inputs!$B$31,0))</f>
        <v/>
      </c>
      <c r="I38" s="4">
        <f>IF(Inputs!$B$49="Yes",0,IF(A38=Inputs!$B$30,MAX(0,H38-F38),0))</f>
        <v/>
      </c>
      <c r="J38" s="4">
        <f>IF(Inputs!$B$49="Yes",0,IF(A38=Inputs!$B$30,H38,F38))</f>
        <v/>
      </c>
      <c r="K38" s="1" t="n"/>
      <c r="L38" s="1" t="n"/>
    </row>
    <row r="39" ht="18" customHeight="1">
      <c r="A39" s="2" t="n">
        <v>26</v>
      </c>
      <c r="B39" s="17">
        <f>IF(Inputs!$B$49="Yes",0,J38)</f>
        <v/>
      </c>
      <c r="C39" s="4">
        <f>IF(Inputs!$B$49="Yes",0,IF(A39&lt;Inputs!$B$28,Inputs!$B$26/12*B39,PMT(Inputs!$B$26/12,Inputs!$B$27*12,-B39)))</f>
        <v/>
      </c>
      <c r="D39" s="4">
        <f>IF(Inputs!$B$49="Yes",0,B39*Inputs!$B$26/12)</f>
        <v/>
      </c>
      <c r="E39" s="17">
        <f>IF(Inputs!$B$49="Yes",0,MAX(0,C39-D39))</f>
        <v/>
      </c>
      <c r="F39" s="17">
        <f>IF(Inputs!$B$49="Yes",0,MAX(0,B39-E39))</f>
        <v/>
      </c>
      <c r="G39" s="4">
        <f>IF(Inputs!$B$49="Yes",0,IF(A39=Inputs!$B$30,('Operating Expenses'!D17*4)/Inputs!$B$35,0))</f>
        <v/>
      </c>
      <c r="H39" s="4">
        <f>IF(Inputs!$B$49="Yes",0,IF(A39=Inputs!$B$30,G39*Inputs!$B$31,0))</f>
        <v/>
      </c>
      <c r="I39" s="4">
        <f>IF(Inputs!$B$49="Yes",0,IF(A39=Inputs!$B$30,MAX(0,H39-F39),0))</f>
        <v/>
      </c>
      <c r="J39" s="4">
        <f>IF(Inputs!$B$49="Yes",0,IF(A39=Inputs!$B$30,H39,F39))</f>
        <v/>
      </c>
      <c r="K39" s="1" t="n"/>
      <c r="L39" s="1" t="n"/>
    </row>
    <row r="40" ht="18" customHeight="1">
      <c r="A40" s="2" t="n">
        <v>27</v>
      </c>
      <c r="B40" s="17">
        <f>IF(Inputs!$B$49="Yes",0,J39)</f>
        <v/>
      </c>
      <c r="C40" s="4">
        <f>IF(Inputs!$B$49="Yes",0,IF(A40&lt;Inputs!$B$28,Inputs!$B$26/12*B40,PMT(Inputs!$B$26/12,Inputs!$B$27*12,-B40)))</f>
        <v/>
      </c>
      <c r="D40" s="4">
        <f>IF(Inputs!$B$49="Yes",0,B40*Inputs!$B$26/12)</f>
        <v/>
      </c>
      <c r="E40" s="17">
        <f>IF(Inputs!$B$49="Yes",0,MAX(0,C40-D40))</f>
        <v/>
      </c>
      <c r="F40" s="17">
        <f>IF(Inputs!$B$49="Yes",0,MAX(0,B40-E40))</f>
        <v/>
      </c>
      <c r="G40" s="4">
        <f>IF(Inputs!$B$49="Yes",0,IF(A40=Inputs!$B$30,('Operating Expenses'!D17*4)/Inputs!$B$35,0))</f>
        <v/>
      </c>
      <c r="H40" s="4">
        <f>IF(Inputs!$B$49="Yes",0,IF(A40=Inputs!$B$30,G40*Inputs!$B$31,0))</f>
        <v/>
      </c>
      <c r="I40" s="4">
        <f>IF(Inputs!$B$49="Yes",0,IF(A40=Inputs!$B$30,MAX(0,H40-F40),0))</f>
        <v/>
      </c>
      <c r="J40" s="4">
        <f>IF(Inputs!$B$49="Yes",0,IF(A40=Inputs!$B$30,H40,F40))</f>
        <v/>
      </c>
      <c r="K40" s="1" t="n"/>
      <c r="L40" s="1" t="n"/>
    </row>
    <row r="41" ht="18" customHeight="1">
      <c r="A41" s="2" t="n">
        <v>28</v>
      </c>
      <c r="B41" s="17">
        <f>IF(Inputs!$B$49="Yes",0,J40)</f>
        <v/>
      </c>
      <c r="C41" s="4">
        <f>IF(Inputs!$B$49="Yes",0,IF(A41&lt;Inputs!$B$28,Inputs!$B$26/12*B41,PMT(Inputs!$B$26/12,Inputs!$B$27*12,-B41)))</f>
        <v/>
      </c>
      <c r="D41" s="4">
        <f>IF(Inputs!$B$49="Yes",0,B41*Inputs!$B$26/12)</f>
        <v/>
      </c>
      <c r="E41" s="17">
        <f>IF(Inputs!$B$49="Yes",0,MAX(0,C41-D41))</f>
        <v/>
      </c>
      <c r="F41" s="17">
        <f>IF(Inputs!$B$49="Yes",0,MAX(0,B41-E41))</f>
        <v/>
      </c>
      <c r="G41" s="4">
        <f>IF(Inputs!$B$49="Yes",0,IF(A41=Inputs!$B$30,('Operating Expenses'!D17*4)/Inputs!$B$35,0))</f>
        <v/>
      </c>
      <c r="H41" s="4">
        <f>IF(Inputs!$B$49="Yes",0,IF(A41=Inputs!$B$30,G41*Inputs!$B$31,0))</f>
        <v/>
      </c>
      <c r="I41" s="4">
        <f>IF(Inputs!$B$49="Yes",0,IF(A41=Inputs!$B$30,MAX(0,H41-F41),0))</f>
        <v/>
      </c>
      <c r="J41" s="4">
        <f>IF(Inputs!$B$49="Yes",0,IF(A41=Inputs!$B$30,H41,F41))</f>
        <v/>
      </c>
      <c r="K41" s="1" t="n"/>
      <c r="L41" s="1" t="n"/>
    </row>
    <row r="42" ht="18" customHeight="1">
      <c r="A42" s="2" t="n">
        <v>29</v>
      </c>
      <c r="B42" s="17">
        <f>IF(Inputs!$B$49="Yes",0,J41)</f>
        <v/>
      </c>
      <c r="C42" s="4">
        <f>IF(Inputs!$B$49="Yes",0,IF(A42&lt;Inputs!$B$28,Inputs!$B$26/12*B42,PMT(Inputs!$B$26/12,Inputs!$B$27*12,-B42)))</f>
        <v/>
      </c>
      <c r="D42" s="4">
        <f>IF(Inputs!$B$49="Yes",0,B42*Inputs!$B$26/12)</f>
        <v/>
      </c>
      <c r="E42" s="17">
        <f>IF(Inputs!$B$49="Yes",0,MAX(0,C42-D42))</f>
        <v/>
      </c>
      <c r="F42" s="17">
        <f>IF(Inputs!$B$49="Yes",0,MAX(0,B42-E42))</f>
        <v/>
      </c>
      <c r="G42" s="4">
        <f>IF(Inputs!$B$49="Yes",0,IF(A42=Inputs!$B$30,('Operating Expenses'!D17*4)/Inputs!$B$35,0))</f>
        <v/>
      </c>
      <c r="H42" s="4">
        <f>IF(Inputs!$B$49="Yes",0,IF(A42=Inputs!$B$30,G42*Inputs!$B$31,0))</f>
        <v/>
      </c>
      <c r="I42" s="4">
        <f>IF(Inputs!$B$49="Yes",0,IF(A42=Inputs!$B$30,MAX(0,H42-F42),0))</f>
        <v/>
      </c>
      <c r="J42" s="4">
        <f>IF(Inputs!$B$49="Yes",0,IF(A42=Inputs!$B$30,H42,F42))</f>
        <v/>
      </c>
      <c r="K42" s="1" t="n"/>
      <c r="L42" s="1" t="n"/>
    </row>
    <row r="43" ht="18" customHeight="1">
      <c r="A43" s="2" t="n">
        <v>30</v>
      </c>
      <c r="B43" s="17">
        <f>IF(Inputs!$B$49="Yes",0,J42)</f>
        <v/>
      </c>
      <c r="C43" s="4">
        <f>IF(Inputs!$B$49="Yes",0,IF(A43&lt;Inputs!$B$28,Inputs!$B$26/12*B43,PMT(Inputs!$B$26/12,Inputs!$B$27*12,-B43)))</f>
        <v/>
      </c>
      <c r="D43" s="4">
        <f>IF(Inputs!$B$49="Yes",0,B43*Inputs!$B$26/12)</f>
        <v/>
      </c>
      <c r="E43" s="17">
        <f>IF(Inputs!$B$49="Yes",0,MAX(0,C43-D43))</f>
        <v/>
      </c>
      <c r="F43" s="17">
        <f>IF(Inputs!$B$49="Yes",0,MAX(0,B43-E43))</f>
        <v/>
      </c>
      <c r="G43" s="4">
        <f>IF(Inputs!$B$49="Yes",0,IF(A43=Inputs!$B$30,('Operating Expenses'!D17*4)/Inputs!$B$35,0))</f>
        <v/>
      </c>
      <c r="H43" s="4">
        <f>IF(Inputs!$B$49="Yes",0,IF(A43=Inputs!$B$30,G43*Inputs!$B$31,0))</f>
        <v/>
      </c>
      <c r="I43" s="4">
        <f>IF(Inputs!$B$49="Yes",0,IF(A43=Inputs!$B$30,MAX(0,H43-F43),0))</f>
        <v/>
      </c>
      <c r="J43" s="4">
        <f>IF(Inputs!$B$49="Yes",0,IF(A43=Inputs!$B$30,H43,F43))</f>
        <v/>
      </c>
      <c r="K43" s="1" t="n"/>
      <c r="L43" s="1" t="n"/>
    </row>
    <row r="44" ht="18" customHeight="1">
      <c r="A44" s="2" t="n">
        <v>31</v>
      </c>
      <c r="B44" s="17">
        <f>IF(Inputs!$B$49="Yes",0,J43)</f>
        <v/>
      </c>
      <c r="C44" s="4">
        <f>IF(Inputs!$B$49="Yes",0,IF(A44&lt;Inputs!$B$28,Inputs!$B$26/12*B44,PMT(Inputs!$B$26/12,Inputs!$B$27*12,-B44)))</f>
        <v/>
      </c>
      <c r="D44" s="4">
        <f>IF(Inputs!$B$49="Yes",0,B44*Inputs!$B$26/12)</f>
        <v/>
      </c>
      <c r="E44" s="17">
        <f>IF(Inputs!$B$49="Yes",0,MAX(0,C44-D44))</f>
        <v/>
      </c>
      <c r="F44" s="17">
        <f>IF(Inputs!$B$49="Yes",0,MAX(0,B44-E44))</f>
        <v/>
      </c>
      <c r="G44" s="4">
        <f>IF(Inputs!$B$49="Yes",0,IF(A44=Inputs!$B$30,('Operating Expenses'!D17*4)/Inputs!$B$35,0))</f>
        <v/>
      </c>
      <c r="H44" s="4">
        <f>IF(Inputs!$B$49="Yes",0,IF(A44=Inputs!$B$30,G44*Inputs!$B$31,0))</f>
        <v/>
      </c>
      <c r="I44" s="4">
        <f>IF(Inputs!$B$49="Yes",0,IF(A44=Inputs!$B$30,MAX(0,H44-F44),0))</f>
        <v/>
      </c>
      <c r="J44" s="4">
        <f>IF(Inputs!$B$49="Yes",0,IF(A44=Inputs!$B$30,H44,F44))</f>
        <v/>
      </c>
      <c r="K44" s="1" t="n"/>
      <c r="L44" s="1" t="n"/>
    </row>
    <row r="45" ht="18" customHeight="1">
      <c r="A45" s="2" t="n">
        <v>32</v>
      </c>
      <c r="B45" s="17">
        <f>IF(Inputs!$B$49="Yes",0,J44)</f>
        <v/>
      </c>
      <c r="C45" s="4">
        <f>IF(Inputs!$B$49="Yes",0,IF(A45&lt;Inputs!$B$28,Inputs!$B$26/12*B45,PMT(Inputs!$B$26/12,Inputs!$B$27*12,-B45)))</f>
        <v/>
      </c>
      <c r="D45" s="4">
        <f>IF(Inputs!$B$49="Yes",0,B45*Inputs!$B$26/12)</f>
        <v/>
      </c>
      <c r="E45" s="17">
        <f>IF(Inputs!$B$49="Yes",0,MAX(0,C45-D45))</f>
        <v/>
      </c>
      <c r="F45" s="17">
        <f>IF(Inputs!$B$49="Yes",0,MAX(0,B45-E45))</f>
        <v/>
      </c>
      <c r="G45" s="4">
        <f>IF(Inputs!$B$49="Yes",0,IF(A45=Inputs!$B$30,('Operating Expenses'!D17*4)/Inputs!$B$35,0))</f>
        <v/>
      </c>
      <c r="H45" s="4">
        <f>IF(Inputs!$B$49="Yes",0,IF(A45=Inputs!$B$30,G45*Inputs!$B$31,0))</f>
        <v/>
      </c>
      <c r="I45" s="4">
        <f>IF(Inputs!$B$49="Yes",0,IF(A45=Inputs!$B$30,MAX(0,H45-F45),0))</f>
        <v/>
      </c>
      <c r="J45" s="4">
        <f>IF(Inputs!$B$49="Yes",0,IF(A45=Inputs!$B$30,H45,F45))</f>
        <v/>
      </c>
      <c r="K45" s="1" t="n"/>
      <c r="L45" s="1" t="n"/>
    </row>
    <row r="46" ht="18" customHeight="1">
      <c r="A46" s="2" t="n">
        <v>33</v>
      </c>
      <c r="B46" s="17">
        <f>IF(Inputs!$B$49="Yes",0,J45)</f>
        <v/>
      </c>
      <c r="C46" s="4">
        <f>IF(Inputs!$B$49="Yes",0,IF(A46&lt;Inputs!$B$28,Inputs!$B$26/12*B46,PMT(Inputs!$B$26/12,Inputs!$B$27*12,-B46)))</f>
        <v/>
      </c>
      <c r="D46" s="4">
        <f>IF(Inputs!$B$49="Yes",0,B46*Inputs!$B$26/12)</f>
        <v/>
      </c>
      <c r="E46" s="17">
        <f>IF(Inputs!$B$49="Yes",0,MAX(0,C46-D46))</f>
        <v/>
      </c>
      <c r="F46" s="17">
        <f>IF(Inputs!$B$49="Yes",0,MAX(0,B46-E46))</f>
        <v/>
      </c>
      <c r="G46" s="4">
        <f>IF(Inputs!$B$49="Yes",0,IF(A46=Inputs!$B$30,('Operating Expenses'!D17*4)/Inputs!$B$35,0))</f>
        <v/>
      </c>
      <c r="H46" s="4">
        <f>IF(Inputs!$B$49="Yes",0,IF(A46=Inputs!$B$30,G46*Inputs!$B$31,0))</f>
        <v/>
      </c>
      <c r="I46" s="4">
        <f>IF(Inputs!$B$49="Yes",0,IF(A46=Inputs!$B$30,MAX(0,H46-F46),0))</f>
        <v/>
      </c>
      <c r="J46" s="4">
        <f>IF(Inputs!$B$49="Yes",0,IF(A46=Inputs!$B$30,H46,F46))</f>
        <v/>
      </c>
      <c r="K46" s="1" t="n"/>
      <c r="L46" s="1" t="n"/>
    </row>
    <row r="47" ht="18" customHeight="1">
      <c r="A47" s="2" t="n">
        <v>34</v>
      </c>
      <c r="B47" s="17">
        <f>IF(Inputs!$B$49="Yes",0,J46)</f>
        <v/>
      </c>
      <c r="C47" s="4">
        <f>IF(Inputs!$B$49="Yes",0,IF(A47&lt;Inputs!$B$28,Inputs!$B$26/12*B47,PMT(Inputs!$B$26/12,Inputs!$B$27*12,-B47)))</f>
        <v/>
      </c>
      <c r="D47" s="4">
        <f>IF(Inputs!$B$49="Yes",0,B47*Inputs!$B$26/12)</f>
        <v/>
      </c>
      <c r="E47" s="17">
        <f>IF(Inputs!$B$49="Yes",0,MAX(0,C47-D47))</f>
        <v/>
      </c>
      <c r="F47" s="17">
        <f>IF(Inputs!$B$49="Yes",0,MAX(0,B47-E47))</f>
        <v/>
      </c>
      <c r="G47" s="4">
        <f>IF(Inputs!$B$49="Yes",0,IF(A47=Inputs!$B$30,('Operating Expenses'!D17*4)/Inputs!$B$35,0))</f>
        <v/>
      </c>
      <c r="H47" s="4">
        <f>IF(Inputs!$B$49="Yes",0,IF(A47=Inputs!$B$30,G47*Inputs!$B$31,0))</f>
        <v/>
      </c>
      <c r="I47" s="4">
        <f>IF(Inputs!$B$49="Yes",0,IF(A47=Inputs!$B$30,MAX(0,H47-F47),0))</f>
        <v/>
      </c>
      <c r="J47" s="4">
        <f>IF(Inputs!$B$49="Yes",0,IF(A47=Inputs!$B$30,H47,F47))</f>
        <v/>
      </c>
      <c r="K47" s="1" t="n"/>
      <c r="L47" s="1" t="n"/>
    </row>
    <row r="48" ht="18" customHeight="1">
      <c r="A48" s="2" t="n">
        <v>35</v>
      </c>
      <c r="B48" s="17">
        <f>IF(Inputs!$B$49="Yes",0,J47)</f>
        <v/>
      </c>
      <c r="C48" s="4">
        <f>IF(Inputs!$B$49="Yes",0,IF(A48&lt;Inputs!$B$28,Inputs!$B$26/12*B48,PMT(Inputs!$B$26/12,Inputs!$B$27*12,-B48)))</f>
        <v/>
      </c>
      <c r="D48" s="4">
        <f>IF(Inputs!$B$49="Yes",0,B48*Inputs!$B$26/12)</f>
        <v/>
      </c>
      <c r="E48" s="17">
        <f>IF(Inputs!$B$49="Yes",0,MAX(0,C48-D48))</f>
        <v/>
      </c>
      <c r="F48" s="17">
        <f>IF(Inputs!$B$49="Yes",0,MAX(0,B48-E48))</f>
        <v/>
      </c>
      <c r="G48" s="4">
        <f>IF(Inputs!$B$49="Yes",0,IF(A48=Inputs!$B$30,('Operating Expenses'!D17*4)/Inputs!$B$35,0))</f>
        <v/>
      </c>
      <c r="H48" s="4">
        <f>IF(Inputs!$B$49="Yes",0,IF(A48=Inputs!$B$30,G48*Inputs!$B$31,0))</f>
        <v/>
      </c>
      <c r="I48" s="4">
        <f>IF(Inputs!$B$49="Yes",0,IF(A48=Inputs!$B$30,MAX(0,H48-F48),0))</f>
        <v/>
      </c>
      <c r="J48" s="4">
        <f>IF(Inputs!$B$49="Yes",0,IF(A48=Inputs!$B$30,H48,F48))</f>
        <v/>
      </c>
      <c r="K48" s="1" t="n"/>
      <c r="L48" s="1" t="n"/>
    </row>
    <row r="49" ht="18" customHeight="1">
      <c r="A49" s="2" t="n">
        <v>36</v>
      </c>
      <c r="B49" s="17">
        <f>IF(Inputs!$B$49="Yes",0,J48)</f>
        <v/>
      </c>
      <c r="C49" s="4">
        <f>IF(Inputs!$B$49="Yes",0,IF(A49&lt;Inputs!$B$28,Inputs!$B$26/12*B49,PMT(Inputs!$B$26/12,Inputs!$B$27*12,-B49)))</f>
        <v/>
      </c>
      <c r="D49" s="4">
        <f>IF(Inputs!$B$49="Yes",0,B49*Inputs!$B$26/12)</f>
        <v/>
      </c>
      <c r="E49" s="17">
        <f>IF(Inputs!$B$49="Yes",0,MAX(0,C49-D49))</f>
        <v/>
      </c>
      <c r="F49" s="17">
        <f>IF(Inputs!$B$49="Yes",0,MAX(0,B49-E49))</f>
        <v/>
      </c>
      <c r="G49" s="4">
        <f>IF(Inputs!$B$49="Yes",0,IF(A49=Inputs!$B$30,('Operating Expenses'!D17*4)/Inputs!$B$35,0))</f>
        <v/>
      </c>
      <c r="H49" s="4">
        <f>IF(Inputs!$B$49="Yes",0,IF(A49=Inputs!$B$30,G49*Inputs!$B$31,0))</f>
        <v/>
      </c>
      <c r="I49" s="4">
        <f>IF(Inputs!$B$49="Yes",0,IF(A49=Inputs!$B$30,MAX(0,H49-F49),0))</f>
        <v/>
      </c>
      <c r="J49" s="4">
        <f>IF(Inputs!$B$49="Yes",0,IF(A49=Inputs!$B$30,H49,F49))</f>
        <v/>
      </c>
      <c r="K49" s="1" t="n"/>
      <c r="L49" s="1" t="n"/>
    </row>
    <row r="50" ht="18" customHeight="1">
      <c r="A50" s="2" t="n">
        <v>37</v>
      </c>
      <c r="B50" s="17">
        <f>IF(Inputs!$B$49="Yes",0,J49)</f>
        <v/>
      </c>
      <c r="C50" s="4">
        <f>IF(Inputs!$B$49="Yes",0,IF(A50&lt;Inputs!$B$28,Inputs!$B$26/12*B50,PMT(Inputs!$B$26/12,Inputs!$B$27*12,-B50)))</f>
        <v/>
      </c>
      <c r="D50" s="4">
        <f>IF(Inputs!$B$49="Yes",0,B50*Inputs!$B$26/12)</f>
        <v/>
      </c>
      <c r="E50" s="17">
        <f>IF(Inputs!$B$49="Yes",0,MAX(0,C50-D50))</f>
        <v/>
      </c>
      <c r="F50" s="17">
        <f>IF(Inputs!$B$49="Yes",0,MAX(0,B50-E50))</f>
        <v/>
      </c>
      <c r="G50" s="4">
        <f>IF(Inputs!$B$49="Yes",0,IF(A50=Inputs!$B$30,('Operating Expenses'!D17*4)/Inputs!$B$35,0))</f>
        <v/>
      </c>
      <c r="H50" s="4">
        <f>IF(Inputs!$B$49="Yes",0,IF(A50=Inputs!$B$30,G50*Inputs!$B$31,0))</f>
        <v/>
      </c>
      <c r="I50" s="4">
        <f>IF(Inputs!$B$49="Yes",0,IF(A50=Inputs!$B$30,MAX(0,H50-F50),0))</f>
        <v/>
      </c>
      <c r="J50" s="4">
        <f>IF(Inputs!$B$49="Yes",0,IF(A50=Inputs!$B$30,H50,F50))</f>
        <v/>
      </c>
      <c r="K50" s="1" t="n"/>
      <c r="L50" s="1" t="n"/>
    </row>
    <row r="51" ht="18" customHeight="1">
      <c r="A51" s="2" t="n">
        <v>38</v>
      </c>
      <c r="B51" s="17">
        <f>IF(Inputs!$B$49="Yes",0,J50)</f>
        <v/>
      </c>
      <c r="C51" s="4">
        <f>IF(Inputs!$B$49="Yes",0,IF(A51&lt;Inputs!$B$28,Inputs!$B$26/12*B51,PMT(Inputs!$B$26/12,Inputs!$B$27*12,-B51)))</f>
        <v/>
      </c>
      <c r="D51" s="4">
        <f>IF(Inputs!$B$49="Yes",0,B51*Inputs!$B$26/12)</f>
        <v/>
      </c>
      <c r="E51" s="17">
        <f>IF(Inputs!$B$49="Yes",0,MAX(0,C51-D51))</f>
        <v/>
      </c>
      <c r="F51" s="17">
        <f>IF(Inputs!$B$49="Yes",0,MAX(0,B51-E51))</f>
        <v/>
      </c>
      <c r="G51" s="4">
        <f>IF(Inputs!$B$49="Yes",0,IF(A51=Inputs!$B$30,('Operating Expenses'!D17*4)/Inputs!$B$35,0))</f>
        <v/>
      </c>
      <c r="H51" s="4">
        <f>IF(Inputs!$B$49="Yes",0,IF(A51=Inputs!$B$30,G51*Inputs!$B$31,0))</f>
        <v/>
      </c>
      <c r="I51" s="4">
        <f>IF(Inputs!$B$49="Yes",0,IF(A51=Inputs!$B$30,MAX(0,H51-F51),0))</f>
        <v/>
      </c>
      <c r="J51" s="4">
        <f>IF(Inputs!$B$49="Yes",0,IF(A51=Inputs!$B$30,H51,F51))</f>
        <v/>
      </c>
      <c r="K51" s="1" t="n"/>
      <c r="L51" s="1" t="n"/>
    </row>
    <row r="52" ht="18" customHeight="1">
      <c r="A52" s="2" t="n">
        <v>39</v>
      </c>
      <c r="B52" s="17">
        <f>IF(Inputs!$B$49="Yes",0,J51)</f>
        <v/>
      </c>
      <c r="C52" s="4">
        <f>IF(Inputs!$B$49="Yes",0,IF(A52&lt;Inputs!$B$28,Inputs!$B$26/12*B52,PMT(Inputs!$B$26/12,Inputs!$B$27*12,-B52)))</f>
        <v/>
      </c>
      <c r="D52" s="4">
        <f>IF(Inputs!$B$49="Yes",0,B52*Inputs!$B$26/12)</f>
        <v/>
      </c>
      <c r="E52" s="17">
        <f>IF(Inputs!$B$49="Yes",0,MAX(0,C52-D52))</f>
        <v/>
      </c>
      <c r="F52" s="17">
        <f>IF(Inputs!$B$49="Yes",0,MAX(0,B52-E52))</f>
        <v/>
      </c>
      <c r="G52" s="4">
        <f>IF(Inputs!$B$49="Yes",0,IF(A52=Inputs!$B$30,('Operating Expenses'!D17*4)/Inputs!$B$35,0))</f>
        <v/>
      </c>
      <c r="H52" s="4">
        <f>IF(Inputs!$B$49="Yes",0,IF(A52=Inputs!$B$30,G52*Inputs!$B$31,0))</f>
        <v/>
      </c>
      <c r="I52" s="4">
        <f>IF(Inputs!$B$49="Yes",0,IF(A52=Inputs!$B$30,MAX(0,H52-F52),0))</f>
        <v/>
      </c>
      <c r="J52" s="4">
        <f>IF(Inputs!$B$49="Yes",0,IF(A52=Inputs!$B$30,H52,F52))</f>
        <v/>
      </c>
      <c r="K52" s="1" t="n"/>
      <c r="L52" s="1" t="n"/>
    </row>
    <row r="53" ht="18" customHeight="1">
      <c r="A53" s="2" t="n">
        <v>40</v>
      </c>
      <c r="B53" s="17">
        <f>IF(Inputs!$B$49="Yes",0,J52)</f>
        <v/>
      </c>
      <c r="C53" s="4">
        <f>IF(Inputs!$B$49="Yes",0,IF(A53&lt;Inputs!$B$28,Inputs!$B$26/12*B53,PMT(Inputs!$B$26/12,Inputs!$B$27*12,-B53)))</f>
        <v/>
      </c>
      <c r="D53" s="4">
        <f>IF(Inputs!$B$49="Yes",0,B53*Inputs!$B$26/12)</f>
        <v/>
      </c>
      <c r="E53" s="17">
        <f>IF(Inputs!$B$49="Yes",0,MAX(0,C53-D53))</f>
        <v/>
      </c>
      <c r="F53" s="17">
        <f>IF(Inputs!$B$49="Yes",0,MAX(0,B53-E53))</f>
        <v/>
      </c>
      <c r="G53" s="4">
        <f>IF(Inputs!$B$49="Yes",0,IF(A53=Inputs!$B$30,('Operating Expenses'!D17*4)/Inputs!$B$35,0))</f>
        <v/>
      </c>
      <c r="H53" s="4">
        <f>IF(Inputs!$B$49="Yes",0,IF(A53=Inputs!$B$30,G53*Inputs!$B$31,0))</f>
        <v/>
      </c>
      <c r="I53" s="4">
        <f>IF(Inputs!$B$49="Yes",0,IF(A53=Inputs!$B$30,MAX(0,H53-F53),0))</f>
        <v/>
      </c>
      <c r="J53" s="4">
        <f>IF(Inputs!$B$49="Yes",0,IF(A53=Inputs!$B$30,H53,F53))</f>
        <v/>
      </c>
      <c r="K53" s="1" t="n"/>
      <c r="L53" s="1" t="n"/>
    </row>
    <row r="54" ht="18" customHeight="1">
      <c r="A54" s="2" t="n">
        <v>41</v>
      </c>
      <c r="B54" s="17">
        <f>IF(Inputs!$B$49="Yes",0,J53)</f>
        <v/>
      </c>
      <c r="C54" s="4">
        <f>IF(Inputs!$B$49="Yes",0,IF(A54&lt;Inputs!$B$28,Inputs!$B$26/12*B54,PMT(Inputs!$B$26/12,Inputs!$B$27*12,-B54)))</f>
        <v/>
      </c>
      <c r="D54" s="4">
        <f>IF(Inputs!$B$49="Yes",0,B54*Inputs!$B$26/12)</f>
        <v/>
      </c>
      <c r="E54" s="17">
        <f>IF(Inputs!$B$49="Yes",0,MAX(0,C54-D54))</f>
        <v/>
      </c>
      <c r="F54" s="17">
        <f>IF(Inputs!$B$49="Yes",0,MAX(0,B54-E54))</f>
        <v/>
      </c>
      <c r="G54" s="4">
        <f>IF(Inputs!$B$49="Yes",0,IF(A54=Inputs!$B$30,('Operating Expenses'!D17*4)/Inputs!$B$35,0))</f>
        <v/>
      </c>
      <c r="H54" s="4">
        <f>IF(Inputs!$B$49="Yes",0,IF(A54=Inputs!$B$30,G54*Inputs!$B$31,0))</f>
        <v/>
      </c>
      <c r="I54" s="4">
        <f>IF(Inputs!$B$49="Yes",0,IF(A54=Inputs!$B$30,MAX(0,H54-F54),0))</f>
        <v/>
      </c>
      <c r="J54" s="4">
        <f>IF(Inputs!$B$49="Yes",0,IF(A54=Inputs!$B$30,H54,F54))</f>
        <v/>
      </c>
      <c r="K54" s="1" t="n"/>
      <c r="L54" s="1" t="n"/>
    </row>
    <row r="55" ht="18" customHeight="1">
      <c r="A55" s="2" t="n">
        <v>42</v>
      </c>
      <c r="B55" s="17">
        <f>IF(Inputs!$B$49="Yes",0,J54)</f>
        <v/>
      </c>
      <c r="C55" s="4">
        <f>IF(Inputs!$B$49="Yes",0,IF(A55&lt;Inputs!$B$28,Inputs!$B$26/12*B55,PMT(Inputs!$B$26/12,Inputs!$B$27*12,-B55)))</f>
        <v/>
      </c>
      <c r="D55" s="4">
        <f>IF(Inputs!$B$49="Yes",0,B55*Inputs!$B$26/12)</f>
        <v/>
      </c>
      <c r="E55" s="17">
        <f>IF(Inputs!$B$49="Yes",0,MAX(0,C55-D55))</f>
        <v/>
      </c>
      <c r="F55" s="17">
        <f>IF(Inputs!$B$49="Yes",0,MAX(0,B55-E55))</f>
        <v/>
      </c>
      <c r="G55" s="4">
        <f>IF(Inputs!$B$49="Yes",0,IF(A55=Inputs!$B$30,('Operating Expenses'!D17*4)/Inputs!$B$35,0))</f>
        <v/>
      </c>
      <c r="H55" s="4">
        <f>IF(Inputs!$B$49="Yes",0,IF(A55=Inputs!$B$30,G55*Inputs!$B$31,0))</f>
        <v/>
      </c>
      <c r="I55" s="4">
        <f>IF(Inputs!$B$49="Yes",0,IF(A55=Inputs!$B$30,MAX(0,H55-F55),0))</f>
        <v/>
      </c>
      <c r="J55" s="4">
        <f>IF(Inputs!$B$49="Yes",0,IF(A55=Inputs!$B$30,H55,F55))</f>
        <v/>
      </c>
      <c r="K55" s="1" t="n"/>
      <c r="L55" s="1" t="n"/>
    </row>
    <row r="56" ht="18" customHeight="1">
      <c r="A56" s="2" t="n">
        <v>43</v>
      </c>
      <c r="B56" s="17">
        <f>IF(Inputs!$B$49="Yes",0,J55)</f>
        <v/>
      </c>
      <c r="C56" s="4">
        <f>IF(Inputs!$B$49="Yes",0,IF(A56&lt;Inputs!$B$28,Inputs!$B$26/12*B56,PMT(Inputs!$B$26/12,Inputs!$B$27*12,-B56)))</f>
        <v/>
      </c>
      <c r="D56" s="4">
        <f>IF(Inputs!$B$49="Yes",0,B56*Inputs!$B$26/12)</f>
        <v/>
      </c>
      <c r="E56" s="17">
        <f>IF(Inputs!$B$49="Yes",0,MAX(0,C56-D56))</f>
        <v/>
      </c>
      <c r="F56" s="17">
        <f>IF(Inputs!$B$49="Yes",0,MAX(0,B56-E56))</f>
        <v/>
      </c>
      <c r="G56" s="4">
        <f>IF(Inputs!$B$49="Yes",0,IF(A56=Inputs!$B$30,('Operating Expenses'!D17*4)/Inputs!$B$35,0))</f>
        <v/>
      </c>
      <c r="H56" s="4">
        <f>IF(Inputs!$B$49="Yes",0,IF(A56=Inputs!$B$30,G56*Inputs!$B$31,0))</f>
        <v/>
      </c>
      <c r="I56" s="4">
        <f>IF(Inputs!$B$49="Yes",0,IF(A56=Inputs!$B$30,MAX(0,H56-F56),0))</f>
        <v/>
      </c>
      <c r="J56" s="4">
        <f>IF(Inputs!$B$49="Yes",0,IF(A56=Inputs!$B$30,H56,F56))</f>
        <v/>
      </c>
      <c r="K56" s="1" t="n"/>
      <c r="L56" s="1" t="n"/>
    </row>
    <row r="57" ht="18" customHeight="1">
      <c r="A57" s="2" t="n">
        <v>44</v>
      </c>
      <c r="B57" s="17">
        <f>IF(Inputs!$B$49="Yes",0,J56)</f>
        <v/>
      </c>
      <c r="C57" s="4">
        <f>IF(Inputs!$B$49="Yes",0,IF(A57&lt;Inputs!$B$28,Inputs!$B$26/12*B57,PMT(Inputs!$B$26/12,Inputs!$B$27*12,-B57)))</f>
        <v/>
      </c>
      <c r="D57" s="4">
        <f>IF(Inputs!$B$49="Yes",0,B57*Inputs!$B$26/12)</f>
        <v/>
      </c>
      <c r="E57" s="17">
        <f>IF(Inputs!$B$49="Yes",0,MAX(0,C57-D57))</f>
        <v/>
      </c>
      <c r="F57" s="17">
        <f>IF(Inputs!$B$49="Yes",0,MAX(0,B57-E57))</f>
        <v/>
      </c>
      <c r="G57" s="4">
        <f>IF(Inputs!$B$49="Yes",0,IF(A57=Inputs!$B$30,('Operating Expenses'!D17*4)/Inputs!$B$35,0))</f>
        <v/>
      </c>
      <c r="H57" s="4">
        <f>IF(Inputs!$B$49="Yes",0,IF(A57=Inputs!$B$30,G57*Inputs!$B$31,0))</f>
        <v/>
      </c>
      <c r="I57" s="4">
        <f>IF(Inputs!$B$49="Yes",0,IF(A57=Inputs!$B$30,MAX(0,H57-F57),0))</f>
        <v/>
      </c>
      <c r="J57" s="4">
        <f>IF(Inputs!$B$49="Yes",0,IF(A57=Inputs!$B$30,H57,F57))</f>
        <v/>
      </c>
      <c r="K57" s="1" t="n"/>
      <c r="L57" s="1" t="n"/>
    </row>
    <row r="58" ht="18" customHeight="1">
      <c r="A58" s="2" t="n">
        <v>45</v>
      </c>
      <c r="B58" s="17">
        <f>IF(Inputs!$B$49="Yes",0,J57)</f>
        <v/>
      </c>
      <c r="C58" s="4">
        <f>IF(Inputs!$B$49="Yes",0,IF(A58&lt;Inputs!$B$28,Inputs!$B$26/12*B58,PMT(Inputs!$B$26/12,Inputs!$B$27*12,-B58)))</f>
        <v/>
      </c>
      <c r="D58" s="4">
        <f>IF(Inputs!$B$49="Yes",0,B58*Inputs!$B$26/12)</f>
        <v/>
      </c>
      <c r="E58" s="17">
        <f>IF(Inputs!$B$49="Yes",0,MAX(0,C58-D58))</f>
        <v/>
      </c>
      <c r="F58" s="17">
        <f>IF(Inputs!$B$49="Yes",0,MAX(0,B58-E58))</f>
        <v/>
      </c>
      <c r="G58" s="4">
        <f>IF(Inputs!$B$49="Yes",0,IF(A58=Inputs!$B$30,('Operating Expenses'!D17*4)/Inputs!$B$35,0))</f>
        <v/>
      </c>
      <c r="H58" s="4">
        <f>IF(Inputs!$B$49="Yes",0,IF(A58=Inputs!$B$30,G58*Inputs!$B$31,0))</f>
        <v/>
      </c>
      <c r="I58" s="4">
        <f>IF(Inputs!$B$49="Yes",0,IF(A58=Inputs!$B$30,MAX(0,H58-F58),0))</f>
        <v/>
      </c>
      <c r="J58" s="4">
        <f>IF(Inputs!$B$49="Yes",0,IF(A58=Inputs!$B$30,H58,F58))</f>
        <v/>
      </c>
      <c r="K58" s="1" t="n"/>
      <c r="L58" s="1" t="n"/>
    </row>
    <row r="59" ht="18" customHeight="1">
      <c r="A59" s="2" t="n">
        <v>46</v>
      </c>
      <c r="B59" s="17">
        <f>IF(Inputs!$B$49="Yes",0,J58)</f>
        <v/>
      </c>
      <c r="C59" s="4">
        <f>IF(Inputs!$B$49="Yes",0,IF(A59&lt;Inputs!$B$28,Inputs!$B$26/12*B59,PMT(Inputs!$B$26/12,Inputs!$B$27*12,-B59)))</f>
        <v/>
      </c>
      <c r="D59" s="4">
        <f>IF(Inputs!$B$49="Yes",0,B59*Inputs!$B$26/12)</f>
        <v/>
      </c>
      <c r="E59" s="17">
        <f>IF(Inputs!$B$49="Yes",0,MAX(0,C59-D59))</f>
        <v/>
      </c>
      <c r="F59" s="17">
        <f>IF(Inputs!$B$49="Yes",0,MAX(0,B59-E59))</f>
        <v/>
      </c>
      <c r="G59" s="4">
        <f>IF(Inputs!$B$49="Yes",0,IF(A59=Inputs!$B$30,('Operating Expenses'!D17*4)/Inputs!$B$35,0))</f>
        <v/>
      </c>
      <c r="H59" s="4">
        <f>IF(Inputs!$B$49="Yes",0,IF(A59=Inputs!$B$30,G59*Inputs!$B$31,0))</f>
        <v/>
      </c>
      <c r="I59" s="4">
        <f>IF(Inputs!$B$49="Yes",0,IF(A59=Inputs!$B$30,MAX(0,H59-F59),0))</f>
        <v/>
      </c>
      <c r="J59" s="4">
        <f>IF(Inputs!$B$49="Yes",0,IF(A59=Inputs!$B$30,H59,F59))</f>
        <v/>
      </c>
      <c r="K59" s="1" t="n"/>
      <c r="L59" s="1" t="n"/>
    </row>
    <row r="60" ht="18" customHeight="1">
      <c r="A60" s="2" t="n">
        <v>47</v>
      </c>
      <c r="B60" s="17">
        <f>IF(Inputs!$B$49="Yes",0,J59)</f>
        <v/>
      </c>
      <c r="C60" s="4">
        <f>IF(Inputs!$B$49="Yes",0,IF(A60&lt;Inputs!$B$28,Inputs!$B$26/12*B60,PMT(Inputs!$B$26/12,Inputs!$B$27*12,-B60)))</f>
        <v/>
      </c>
      <c r="D60" s="4">
        <f>IF(Inputs!$B$49="Yes",0,B60*Inputs!$B$26/12)</f>
        <v/>
      </c>
      <c r="E60" s="17">
        <f>IF(Inputs!$B$49="Yes",0,MAX(0,C60-D60))</f>
        <v/>
      </c>
      <c r="F60" s="17">
        <f>IF(Inputs!$B$49="Yes",0,MAX(0,B60-E60))</f>
        <v/>
      </c>
      <c r="G60" s="4">
        <f>IF(Inputs!$B$49="Yes",0,IF(A60=Inputs!$B$30,('Operating Expenses'!D17*4)/Inputs!$B$35,0))</f>
        <v/>
      </c>
      <c r="H60" s="4">
        <f>IF(Inputs!$B$49="Yes",0,IF(A60=Inputs!$B$30,G60*Inputs!$B$31,0))</f>
        <v/>
      </c>
      <c r="I60" s="4">
        <f>IF(Inputs!$B$49="Yes",0,IF(A60=Inputs!$B$30,MAX(0,H60-F60),0))</f>
        <v/>
      </c>
      <c r="J60" s="4">
        <f>IF(Inputs!$B$49="Yes",0,IF(A60=Inputs!$B$30,H60,F60))</f>
        <v/>
      </c>
      <c r="K60" s="1" t="n"/>
      <c r="L60" s="1" t="n"/>
    </row>
    <row r="61" ht="18" customHeight="1">
      <c r="A61" s="2" t="n">
        <v>48</v>
      </c>
      <c r="B61" s="17">
        <f>IF(Inputs!$B$49="Yes",0,J60)</f>
        <v/>
      </c>
      <c r="C61" s="4">
        <f>IF(Inputs!$B$49="Yes",0,IF(A61&lt;Inputs!$B$28,Inputs!$B$26/12*B61,PMT(Inputs!$B$26/12,Inputs!$B$27*12,-B61)))</f>
        <v/>
      </c>
      <c r="D61" s="4">
        <f>IF(Inputs!$B$49="Yes",0,B61*Inputs!$B$26/12)</f>
        <v/>
      </c>
      <c r="E61" s="17">
        <f>IF(Inputs!$B$49="Yes",0,MAX(0,C61-D61))</f>
        <v/>
      </c>
      <c r="F61" s="17">
        <f>IF(Inputs!$B$49="Yes",0,MAX(0,B61-E61))</f>
        <v/>
      </c>
      <c r="G61" s="4">
        <f>IF(Inputs!$B$49="Yes",0,IF(A61=Inputs!$B$30,('Operating Expenses'!D17*4)/Inputs!$B$35,0))</f>
        <v/>
      </c>
      <c r="H61" s="4">
        <f>IF(Inputs!$B$49="Yes",0,IF(A61=Inputs!$B$30,G61*Inputs!$B$31,0))</f>
        <v/>
      </c>
      <c r="I61" s="4">
        <f>IF(Inputs!$B$49="Yes",0,IF(A61=Inputs!$B$30,MAX(0,H61-F61),0))</f>
        <v/>
      </c>
      <c r="J61" s="4">
        <f>IF(Inputs!$B$49="Yes",0,IF(A61=Inputs!$B$30,H61,F61))</f>
        <v/>
      </c>
      <c r="K61" s="1" t="n"/>
      <c r="L61" s="1" t="n"/>
    </row>
    <row r="62" ht="18" customHeight="1">
      <c r="A62" s="2" t="n">
        <v>49</v>
      </c>
      <c r="B62" s="17">
        <f>IF(Inputs!$B$49="Yes",0,J61)</f>
        <v/>
      </c>
      <c r="C62" s="4">
        <f>IF(Inputs!$B$49="Yes",0,IF(A62&lt;Inputs!$B$28,Inputs!$B$26/12*B62,PMT(Inputs!$B$26/12,Inputs!$B$27*12,-B62)))</f>
        <v/>
      </c>
      <c r="D62" s="4">
        <f>IF(Inputs!$B$49="Yes",0,B62*Inputs!$B$26/12)</f>
        <v/>
      </c>
      <c r="E62" s="17">
        <f>IF(Inputs!$B$49="Yes",0,MAX(0,C62-D62))</f>
        <v/>
      </c>
      <c r="F62" s="17">
        <f>IF(Inputs!$B$49="Yes",0,MAX(0,B62-E62))</f>
        <v/>
      </c>
      <c r="G62" s="4">
        <f>IF(Inputs!$B$49="Yes",0,IF(A62=Inputs!$B$30,('Operating Expenses'!D17*4)/Inputs!$B$35,0))</f>
        <v/>
      </c>
      <c r="H62" s="4">
        <f>IF(Inputs!$B$49="Yes",0,IF(A62=Inputs!$B$30,G62*Inputs!$B$31,0))</f>
        <v/>
      </c>
      <c r="I62" s="4">
        <f>IF(Inputs!$B$49="Yes",0,IF(A62=Inputs!$B$30,MAX(0,H62-F62),0))</f>
        <v/>
      </c>
      <c r="J62" s="4">
        <f>IF(Inputs!$B$49="Yes",0,IF(A62=Inputs!$B$30,H62,F62))</f>
        <v/>
      </c>
      <c r="K62" s="1" t="n"/>
      <c r="L62" s="1" t="n"/>
    </row>
    <row r="63" ht="18" customHeight="1">
      <c r="A63" s="2" t="n">
        <v>50</v>
      </c>
      <c r="B63" s="17">
        <f>IF(Inputs!$B$49="Yes",0,J62)</f>
        <v/>
      </c>
      <c r="C63" s="4">
        <f>IF(Inputs!$B$49="Yes",0,IF(A63&lt;Inputs!$B$28,Inputs!$B$26/12*B63,PMT(Inputs!$B$26/12,Inputs!$B$27*12,-B63)))</f>
        <v/>
      </c>
      <c r="D63" s="4">
        <f>IF(Inputs!$B$49="Yes",0,B63*Inputs!$B$26/12)</f>
        <v/>
      </c>
      <c r="E63" s="17">
        <f>IF(Inputs!$B$49="Yes",0,MAX(0,C63-D63))</f>
        <v/>
      </c>
      <c r="F63" s="17">
        <f>IF(Inputs!$B$49="Yes",0,MAX(0,B63-E63))</f>
        <v/>
      </c>
      <c r="G63" s="4">
        <f>IF(Inputs!$B$49="Yes",0,IF(A63=Inputs!$B$30,('Operating Expenses'!D17*4)/Inputs!$B$35,0))</f>
        <v/>
      </c>
      <c r="H63" s="4">
        <f>IF(Inputs!$B$49="Yes",0,IF(A63=Inputs!$B$30,G63*Inputs!$B$31,0))</f>
        <v/>
      </c>
      <c r="I63" s="4">
        <f>IF(Inputs!$B$49="Yes",0,IF(A63=Inputs!$B$30,MAX(0,H63-F63),0))</f>
        <v/>
      </c>
      <c r="J63" s="4">
        <f>IF(Inputs!$B$49="Yes",0,IF(A63=Inputs!$B$30,H63,F63))</f>
        <v/>
      </c>
      <c r="K63" s="1" t="n"/>
      <c r="L63" s="1" t="n"/>
    </row>
    <row r="64" ht="18" customHeight="1">
      <c r="A64" s="2" t="n">
        <v>51</v>
      </c>
      <c r="B64" s="17">
        <f>IF(Inputs!$B$49="Yes",0,J63)</f>
        <v/>
      </c>
      <c r="C64" s="4">
        <f>IF(Inputs!$B$49="Yes",0,IF(A64&lt;Inputs!$B$28,Inputs!$B$26/12*B64,PMT(Inputs!$B$26/12,Inputs!$B$27*12,-B64)))</f>
        <v/>
      </c>
      <c r="D64" s="4">
        <f>IF(Inputs!$B$49="Yes",0,B64*Inputs!$B$26/12)</f>
        <v/>
      </c>
      <c r="E64" s="17">
        <f>IF(Inputs!$B$49="Yes",0,MAX(0,C64-D64))</f>
        <v/>
      </c>
      <c r="F64" s="17">
        <f>IF(Inputs!$B$49="Yes",0,MAX(0,B64-E64))</f>
        <v/>
      </c>
      <c r="G64" s="4">
        <f>IF(Inputs!$B$49="Yes",0,IF(A64=Inputs!$B$30,('Operating Expenses'!D17*4)/Inputs!$B$35,0))</f>
        <v/>
      </c>
      <c r="H64" s="4">
        <f>IF(Inputs!$B$49="Yes",0,IF(A64=Inputs!$B$30,G64*Inputs!$B$31,0))</f>
        <v/>
      </c>
      <c r="I64" s="4">
        <f>IF(Inputs!$B$49="Yes",0,IF(A64=Inputs!$B$30,MAX(0,H64-F64),0))</f>
        <v/>
      </c>
      <c r="J64" s="4">
        <f>IF(Inputs!$B$49="Yes",0,IF(A64=Inputs!$B$30,H64,F64))</f>
        <v/>
      </c>
      <c r="K64" s="1" t="n"/>
      <c r="L64" s="1" t="n"/>
    </row>
    <row r="65" ht="18" customHeight="1">
      <c r="A65" s="2" t="n">
        <v>52</v>
      </c>
      <c r="B65" s="17">
        <f>IF(Inputs!$B$49="Yes",0,J64)</f>
        <v/>
      </c>
      <c r="C65" s="4">
        <f>IF(Inputs!$B$49="Yes",0,IF(A65&lt;Inputs!$B$28,Inputs!$B$26/12*B65,PMT(Inputs!$B$26/12,Inputs!$B$27*12,-B65)))</f>
        <v/>
      </c>
      <c r="D65" s="4">
        <f>IF(Inputs!$B$49="Yes",0,B65*Inputs!$B$26/12)</f>
        <v/>
      </c>
      <c r="E65" s="17">
        <f>IF(Inputs!$B$49="Yes",0,MAX(0,C65-D65))</f>
        <v/>
      </c>
      <c r="F65" s="17">
        <f>IF(Inputs!$B$49="Yes",0,MAX(0,B65-E65))</f>
        <v/>
      </c>
      <c r="G65" s="4">
        <f>IF(Inputs!$B$49="Yes",0,IF(A65=Inputs!$B$30,('Operating Expenses'!D17*4)/Inputs!$B$35,0))</f>
        <v/>
      </c>
      <c r="H65" s="4">
        <f>IF(Inputs!$B$49="Yes",0,IF(A65=Inputs!$B$30,G65*Inputs!$B$31,0))</f>
        <v/>
      </c>
      <c r="I65" s="4">
        <f>IF(Inputs!$B$49="Yes",0,IF(A65=Inputs!$B$30,MAX(0,H65-F65),0))</f>
        <v/>
      </c>
      <c r="J65" s="4">
        <f>IF(Inputs!$B$49="Yes",0,IF(A65=Inputs!$B$30,H65,F65))</f>
        <v/>
      </c>
      <c r="K65" s="1" t="n"/>
      <c r="L65" s="1" t="n"/>
    </row>
    <row r="66" ht="18" customHeight="1">
      <c r="A66" s="2" t="n">
        <v>53</v>
      </c>
      <c r="B66" s="17">
        <f>IF(Inputs!$B$49="Yes",0,J65)</f>
        <v/>
      </c>
      <c r="C66" s="4">
        <f>IF(Inputs!$B$49="Yes",0,IF(A66&lt;Inputs!$B$28,Inputs!$B$26/12*B66,PMT(Inputs!$B$26/12,Inputs!$B$27*12,-B66)))</f>
        <v/>
      </c>
      <c r="D66" s="4">
        <f>IF(Inputs!$B$49="Yes",0,B66*Inputs!$B$26/12)</f>
        <v/>
      </c>
      <c r="E66" s="17">
        <f>IF(Inputs!$B$49="Yes",0,MAX(0,C66-D66))</f>
        <v/>
      </c>
      <c r="F66" s="17">
        <f>IF(Inputs!$B$49="Yes",0,MAX(0,B66-E66))</f>
        <v/>
      </c>
      <c r="G66" s="4">
        <f>IF(Inputs!$B$49="Yes",0,IF(A66=Inputs!$B$30,('Operating Expenses'!D17*4)/Inputs!$B$35,0))</f>
        <v/>
      </c>
      <c r="H66" s="4">
        <f>IF(Inputs!$B$49="Yes",0,IF(A66=Inputs!$B$30,G66*Inputs!$B$31,0))</f>
        <v/>
      </c>
      <c r="I66" s="4">
        <f>IF(Inputs!$B$49="Yes",0,IF(A66=Inputs!$B$30,MAX(0,H66-F66),0))</f>
        <v/>
      </c>
      <c r="J66" s="4">
        <f>IF(Inputs!$B$49="Yes",0,IF(A66=Inputs!$B$30,H66,F66))</f>
        <v/>
      </c>
      <c r="K66" s="1" t="n"/>
      <c r="L66" s="1" t="n"/>
    </row>
    <row r="67" ht="18" customHeight="1">
      <c r="A67" s="2" t="n">
        <v>54</v>
      </c>
      <c r="B67" s="17">
        <f>IF(Inputs!$B$49="Yes",0,J66)</f>
        <v/>
      </c>
      <c r="C67" s="4">
        <f>IF(Inputs!$B$49="Yes",0,IF(A67&lt;Inputs!$B$28,Inputs!$B$26/12*B67,PMT(Inputs!$B$26/12,Inputs!$B$27*12,-B67)))</f>
        <v/>
      </c>
      <c r="D67" s="4">
        <f>IF(Inputs!$B$49="Yes",0,B67*Inputs!$B$26/12)</f>
        <v/>
      </c>
      <c r="E67" s="17">
        <f>IF(Inputs!$B$49="Yes",0,MAX(0,C67-D67))</f>
        <v/>
      </c>
      <c r="F67" s="17">
        <f>IF(Inputs!$B$49="Yes",0,MAX(0,B67-E67))</f>
        <v/>
      </c>
      <c r="G67" s="4">
        <f>IF(Inputs!$B$49="Yes",0,IF(A67=Inputs!$B$30,('Operating Expenses'!D17*4)/Inputs!$B$35,0))</f>
        <v/>
      </c>
      <c r="H67" s="4">
        <f>IF(Inputs!$B$49="Yes",0,IF(A67=Inputs!$B$30,G67*Inputs!$B$31,0))</f>
        <v/>
      </c>
      <c r="I67" s="4">
        <f>IF(Inputs!$B$49="Yes",0,IF(A67=Inputs!$B$30,MAX(0,H67-F67),0))</f>
        <v/>
      </c>
      <c r="J67" s="4">
        <f>IF(Inputs!$B$49="Yes",0,IF(A67=Inputs!$B$30,H67,F67))</f>
        <v/>
      </c>
      <c r="K67" s="1" t="n"/>
      <c r="L67" s="1" t="n"/>
    </row>
    <row r="68" ht="18" customHeight="1">
      <c r="A68" s="2" t="n">
        <v>55</v>
      </c>
      <c r="B68" s="17">
        <f>IF(Inputs!$B$49="Yes",0,J67)</f>
        <v/>
      </c>
      <c r="C68" s="4">
        <f>IF(Inputs!$B$49="Yes",0,IF(A68&lt;Inputs!$B$28,Inputs!$B$26/12*B68,PMT(Inputs!$B$26/12,Inputs!$B$27*12,-B68)))</f>
        <v/>
      </c>
      <c r="D68" s="4">
        <f>IF(Inputs!$B$49="Yes",0,B68*Inputs!$B$26/12)</f>
        <v/>
      </c>
      <c r="E68" s="17">
        <f>IF(Inputs!$B$49="Yes",0,MAX(0,C68-D68))</f>
        <v/>
      </c>
      <c r="F68" s="17">
        <f>IF(Inputs!$B$49="Yes",0,MAX(0,B68-E68))</f>
        <v/>
      </c>
      <c r="G68" s="4">
        <f>IF(Inputs!$B$49="Yes",0,IF(A68=Inputs!$B$30,('Operating Expenses'!D17*4)/Inputs!$B$35,0))</f>
        <v/>
      </c>
      <c r="H68" s="4">
        <f>IF(Inputs!$B$49="Yes",0,IF(A68=Inputs!$B$30,G68*Inputs!$B$31,0))</f>
        <v/>
      </c>
      <c r="I68" s="4">
        <f>IF(Inputs!$B$49="Yes",0,IF(A68=Inputs!$B$30,MAX(0,H68-F68),0))</f>
        <v/>
      </c>
      <c r="J68" s="4">
        <f>IF(Inputs!$B$49="Yes",0,IF(A68=Inputs!$B$30,H68,F68))</f>
        <v/>
      </c>
      <c r="K68" s="1" t="n"/>
      <c r="L68" s="1" t="n"/>
    </row>
    <row r="69" ht="18" customHeight="1">
      <c r="A69" s="2" t="n">
        <v>56</v>
      </c>
      <c r="B69" s="17">
        <f>IF(Inputs!$B$49="Yes",0,J68)</f>
        <v/>
      </c>
      <c r="C69" s="4">
        <f>IF(Inputs!$B$49="Yes",0,IF(A69&lt;Inputs!$B$28,Inputs!$B$26/12*B69,PMT(Inputs!$B$26/12,Inputs!$B$27*12,-B69)))</f>
        <v/>
      </c>
      <c r="D69" s="4">
        <f>IF(Inputs!$B$49="Yes",0,B69*Inputs!$B$26/12)</f>
        <v/>
      </c>
      <c r="E69" s="17">
        <f>IF(Inputs!$B$49="Yes",0,MAX(0,C69-D69))</f>
        <v/>
      </c>
      <c r="F69" s="17">
        <f>IF(Inputs!$B$49="Yes",0,MAX(0,B69-E69))</f>
        <v/>
      </c>
      <c r="G69" s="4">
        <f>IF(Inputs!$B$49="Yes",0,IF(A69=Inputs!$B$30,('Operating Expenses'!D17*4)/Inputs!$B$35,0))</f>
        <v/>
      </c>
      <c r="H69" s="4">
        <f>IF(Inputs!$B$49="Yes",0,IF(A69=Inputs!$B$30,G69*Inputs!$B$31,0))</f>
        <v/>
      </c>
      <c r="I69" s="4">
        <f>IF(Inputs!$B$49="Yes",0,IF(A69=Inputs!$B$30,MAX(0,H69-F69),0))</f>
        <v/>
      </c>
      <c r="J69" s="4">
        <f>IF(Inputs!$B$49="Yes",0,IF(A69=Inputs!$B$30,H69,F69))</f>
        <v/>
      </c>
      <c r="K69" s="1" t="n"/>
      <c r="L69" s="1" t="n"/>
    </row>
    <row r="70" ht="18" customHeight="1">
      <c r="A70" s="2" t="n">
        <v>57</v>
      </c>
      <c r="B70" s="17">
        <f>IF(Inputs!$B$49="Yes",0,J69)</f>
        <v/>
      </c>
      <c r="C70" s="4">
        <f>IF(Inputs!$B$49="Yes",0,IF(A70&lt;Inputs!$B$28,Inputs!$B$26/12*B70,PMT(Inputs!$B$26/12,Inputs!$B$27*12,-B70)))</f>
        <v/>
      </c>
      <c r="D70" s="4">
        <f>IF(Inputs!$B$49="Yes",0,B70*Inputs!$B$26/12)</f>
        <v/>
      </c>
      <c r="E70" s="17">
        <f>IF(Inputs!$B$49="Yes",0,MAX(0,C70-D70))</f>
        <v/>
      </c>
      <c r="F70" s="17">
        <f>IF(Inputs!$B$49="Yes",0,MAX(0,B70-E70))</f>
        <v/>
      </c>
      <c r="G70" s="4">
        <f>IF(Inputs!$B$49="Yes",0,IF(A70=Inputs!$B$30,('Operating Expenses'!D17*4)/Inputs!$B$35,0))</f>
        <v/>
      </c>
      <c r="H70" s="4">
        <f>IF(Inputs!$B$49="Yes",0,IF(A70=Inputs!$B$30,G70*Inputs!$B$31,0))</f>
        <v/>
      </c>
      <c r="I70" s="4">
        <f>IF(Inputs!$B$49="Yes",0,IF(A70=Inputs!$B$30,MAX(0,H70-F70),0))</f>
        <v/>
      </c>
      <c r="J70" s="4">
        <f>IF(Inputs!$B$49="Yes",0,IF(A70=Inputs!$B$30,H70,F70))</f>
        <v/>
      </c>
      <c r="K70" s="1" t="n"/>
      <c r="L70" s="1" t="n"/>
    </row>
    <row r="71" ht="18" customHeight="1">
      <c r="A71" s="2" t="n">
        <v>58</v>
      </c>
      <c r="B71" s="17">
        <f>IF(Inputs!$B$49="Yes",0,J70)</f>
        <v/>
      </c>
      <c r="C71" s="4">
        <f>IF(Inputs!$B$49="Yes",0,IF(A71&lt;Inputs!$B$28,Inputs!$B$26/12*B71,PMT(Inputs!$B$26/12,Inputs!$B$27*12,-B71)))</f>
        <v/>
      </c>
      <c r="D71" s="4">
        <f>IF(Inputs!$B$49="Yes",0,B71*Inputs!$B$26/12)</f>
        <v/>
      </c>
      <c r="E71" s="17">
        <f>IF(Inputs!$B$49="Yes",0,MAX(0,C71-D71))</f>
        <v/>
      </c>
      <c r="F71" s="17">
        <f>IF(Inputs!$B$49="Yes",0,MAX(0,B71-E71))</f>
        <v/>
      </c>
      <c r="G71" s="4">
        <f>IF(Inputs!$B$49="Yes",0,IF(A71=Inputs!$B$30,('Operating Expenses'!D17*4)/Inputs!$B$35,0))</f>
        <v/>
      </c>
      <c r="H71" s="4">
        <f>IF(Inputs!$B$49="Yes",0,IF(A71=Inputs!$B$30,G71*Inputs!$B$31,0))</f>
        <v/>
      </c>
      <c r="I71" s="4">
        <f>IF(Inputs!$B$49="Yes",0,IF(A71=Inputs!$B$30,MAX(0,H71-F71),0))</f>
        <v/>
      </c>
      <c r="J71" s="4">
        <f>IF(Inputs!$B$49="Yes",0,IF(A71=Inputs!$B$30,H71,F71))</f>
        <v/>
      </c>
      <c r="K71" s="1" t="n"/>
      <c r="L71" s="1" t="n"/>
    </row>
    <row r="72" ht="18" customHeight="1">
      <c r="A72" s="2" t="n">
        <v>59</v>
      </c>
      <c r="B72" s="17">
        <f>IF(Inputs!$B$49="Yes",0,J71)</f>
        <v/>
      </c>
      <c r="C72" s="4">
        <f>IF(Inputs!$B$49="Yes",0,IF(A72&lt;Inputs!$B$28,Inputs!$B$26/12*B72,PMT(Inputs!$B$26/12,Inputs!$B$27*12,-B72)))</f>
        <v/>
      </c>
      <c r="D72" s="4">
        <f>IF(Inputs!$B$49="Yes",0,B72*Inputs!$B$26/12)</f>
        <v/>
      </c>
      <c r="E72" s="17">
        <f>IF(Inputs!$B$49="Yes",0,MAX(0,C72-D72))</f>
        <v/>
      </c>
      <c r="F72" s="17">
        <f>IF(Inputs!$B$49="Yes",0,MAX(0,B72-E72))</f>
        <v/>
      </c>
      <c r="G72" s="4">
        <f>IF(Inputs!$B$49="Yes",0,IF(A72=Inputs!$B$30,('Operating Expenses'!D17*4)/Inputs!$B$35,0))</f>
        <v/>
      </c>
      <c r="H72" s="4">
        <f>IF(Inputs!$B$49="Yes",0,IF(A72=Inputs!$B$30,G72*Inputs!$B$31,0))</f>
        <v/>
      </c>
      <c r="I72" s="4">
        <f>IF(Inputs!$B$49="Yes",0,IF(A72=Inputs!$B$30,MAX(0,H72-F72),0))</f>
        <v/>
      </c>
      <c r="J72" s="4">
        <f>IF(Inputs!$B$49="Yes",0,IF(A72=Inputs!$B$30,H72,F72))</f>
        <v/>
      </c>
      <c r="K72" s="1" t="n"/>
      <c r="L72" s="1" t="n"/>
    </row>
    <row r="73" ht="18" customHeight="1">
      <c r="A73" s="2" t="n">
        <v>60</v>
      </c>
      <c r="B73" s="17">
        <f>IF(Inputs!$B$49="Yes",0,J72)</f>
        <v/>
      </c>
      <c r="C73" s="4">
        <f>IF(Inputs!$B$49="Yes",0,IF(A73&lt;Inputs!$B$28,Inputs!$B$26/12*B73,PMT(Inputs!$B$26/12,Inputs!$B$27*12,-B73)))</f>
        <v/>
      </c>
      <c r="D73" s="4">
        <f>IF(Inputs!$B$49="Yes",0,B73*Inputs!$B$26/12)</f>
        <v/>
      </c>
      <c r="E73" s="17">
        <f>IF(Inputs!$B$49="Yes",0,MAX(0,C73-D73))</f>
        <v/>
      </c>
      <c r="F73" s="17">
        <f>IF(Inputs!$B$49="Yes",0,MAX(0,B73-E73))</f>
        <v/>
      </c>
      <c r="G73" s="4">
        <f>IF(Inputs!$B$49="Yes",0,IF(A73=Inputs!$B$30,('Operating Expenses'!D17*4)/Inputs!$B$35,0))</f>
        <v/>
      </c>
      <c r="H73" s="4">
        <f>IF(Inputs!$B$49="Yes",0,IF(A73=Inputs!$B$30,G73*Inputs!$B$31,0))</f>
        <v/>
      </c>
      <c r="I73" s="4">
        <f>IF(Inputs!$B$49="Yes",0,IF(A73=Inputs!$B$30,MAX(0,H73-F73),0))</f>
        <v/>
      </c>
      <c r="J73" s="4">
        <f>IF(Inputs!$B$49="Yes",0,IF(A73=Inputs!$B$30,H73,F73))</f>
        <v/>
      </c>
      <c r="K73" s="1" t="n"/>
      <c r="L73" s="1" t="n"/>
    </row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2">
    <mergeCell ref="A3:L3"/>
    <mergeCell ref="A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:J1"/>
    </sheetView>
  </sheetViews>
  <sheetFormatPr baseColWidth="8" defaultRowHeight="14.4"/>
  <cols>
    <col width="34" customWidth="1" min="1" max="1"/>
    <col width="15" customWidth="1" min="2" max="29"/>
  </cols>
  <sheetData>
    <row r="1" ht="18" customHeight="1">
      <c r="A1" s="58" t="inlineStr">
        <is>
          <t>Sponsor Fee Module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4" t="inlineStr">
        <is>
          <t>Year</t>
        </is>
      </c>
      <c r="B3" s="15" t="inlineStr">
        <is>
          <t>EGI</t>
        </is>
      </c>
      <c r="C3" s="15" t="inlineStr">
        <is>
          <t>Acquisition Fee</t>
        </is>
      </c>
      <c r="D3" s="15" t="inlineStr">
        <is>
          <t>Asset Management Fee</t>
        </is>
      </c>
      <c r="E3" s="15" t="inlineStr">
        <is>
          <t>Disposition Fee</t>
        </is>
      </c>
      <c r="F3" s="15" t="inlineStr">
        <is>
          <t>Total Sponsor Fees</t>
        </is>
      </c>
      <c r="G3" s="1" t="n"/>
      <c r="H3" s="1" t="n"/>
      <c r="I3" s="1" t="n"/>
      <c r="J3" s="1" t="n"/>
    </row>
    <row r="4" ht="18" customHeight="1">
      <c r="A4" s="2" t="n">
        <v>0</v>
      </c>
      <c r="B4" s="26" t="n">
        <v>0</v>
      </c>
      <c r="C4" s="4">
        <f>Inputs!B4*Inputs!B7</f>
        <v/>
      </c>
      <c r="D4" s="26" t="n">
        <v>0</v>
      </c>
      <c r="E4" s="26" t="n">
        <v>0</v>
      </c>
      <c r="F4" s="17">
        <f>SUM(C4:E4)</f>
        <v/>
      </c>
      <c r="G4" s="1" t="n"/>
      <c r="H4" s="1" t="n"/>
      <c r="I4" s="1" t="n"/>
      <c r="J4" s="1" t="n"/>
    </row>
    <row r="5" ht="18" customHeight="1">
      <c r="A5" s="2" t="n">
        <v>1</v>
      </c>
      <c r="B5" s="4">
        <f>'Revenue Forecast'!F4</f>
        <v/>
      </c>
      <c r="C5" s="26" t="n">
        <v>0</v>
      </c>
      <c r="D5" s="4">
        <f>B5*Inputs!$B$8</f>
        <v/>
      </c>
      <c r="E5" s="4">
        <f>IF(A5=Inputs!$B$35/12,'Returns Summary'!B15*Inputs!$B$9,0)</f>
        <v/>
      </c>
      <c r="F5" s="17">
        <f>SUM(C5:E5)</f>
        <v/>
      </c>
      <c r="G5" s="1" t="n"/>
      <c r="H5" s="1" t="n"/>
      <c r="I5" s="1" t="n"/>
      <c r="J5" s="1" t="n"/>
    </row>
    <row r="6" ht="18" customHeight="1">
      <c r="A6" s="2" t="n">
        <v>2</v>
      </c>
      <c r="B6" s="4">
        <f>'Revenue Forecast'!F5</f>
        <v/>
      </c>
      <c r="C6" s="26" t="n">
        <v>0</v>
      </c>
      <c r="D6" s="4">
        <f>B6*Inputs!$B$8</f>
        <v/>
      </c>
      <c r="E6" s="4">
        <f>IF(A6=Inputs!$B$35/12,'Returns Summary'!B15*Inputs!$B$9,0)</f>
        <v/>
      </c>
      <c r="F6" s="17">
        <f>SUM(C6:E6)</f>
        <v/>
      </c>
      <c r="G6" s="1" t="n"/>
      <c r="H6" s="1" t="n"/>
      <c r="I6" s="1" t="n"/>
      <c r="J6" s="1" t="n"/>
    </row>
    <row r="7" ht="18" customHeight="1">
      <c r="A7" s="2" t="n">
        <v>3</v>
      </c>
      <c r="B7" s="4">
        <f>'Revenue Forecast'!F6</f>
        <v/>
      </c>
      <c r="C7" s="26" t="n">
        <v>0</v>
      </c>
      <c r="D7" s="4">
        <f>B7*Inputs!$B$8</f>
        <v/>
      </c>
      <c r="E7" s="4">
        <f>IF(A7=Inputs!$B$35/12,'Returns Summary'!B15*Inputs!$B$9,0)</f>
        <v/>
      </c>
      <c r="F7" s="17">
        <f>SUM(C7:E7)</f>
        <v/>
      </c>
      <c r="G7" s="1" t="n"/>
      <c r="H7" s="1" t="n"/>
      <c r="I7" s="1" t="n"/>
      <c r="J7" s="1" t="n"/>
    </row>
    <row r="8" ht="18" customHeight="1">
      <c r="A8" s="2" t="n">
        <v>4</v>
      </c>
      <c r="B8" s="4">
        <f>'Revenue Forecast'!F7</f>
        <v/>
      </c>
      <c r="C8" s="26" t="n">
        <v>0</v>
      </c>
      <c r="D8" s="4">
        <f>B8*Inputs!$B$8</f>
        <v/>
      </c>
      <c r="E8" s="4">
        <f>IF(A8=Inputs!$B$35/12,'Returns Summary'!B15*Inputs!$B$9,0)</f>
        <v/>
      </c>
      <c r="F8" s="17">
        <f>SUM(C8:E8)</f>
        <v/>
      </c>
      <c r="G8" s="1" t="n"/>
      <c r="H8" s="1" t="n"/>
      <c r="I8" s="1" t="n"/>
      <c r="J8" s="1" t="n"/>
    </row>
    <row r="9" ht="18" customHeight="1">
      <c r="A9" s="2" t="n">
        <v>5</v>
      </c>
      <c r="B9" s="4">
        <f>'Revenue Forecast'!F8</f>
        <v/>
      </c>
      <c r="C9" s="26" t="n">
        <v>0</v>
      </c>
      <c r="D9" s="4">
        <f>B9*Inputs!$B$8</f>
        <v/>
      </c>
      <c r="E9" s="4">
        <f>IF(A9=Inputs!$B$35/12,'Returns Summary'!B15*Inputs!$B$9,0)</f>
        <v/>
      </c>
      <c r="F9" s="17">
        <f>SUM(C9:E9)</f>
        <v/>
      </c>
      <c r="G9" s="1" t="n"/>
      <c r="H9" s="1" t="n"/>
      <c r="I9" s="1" t="n"/>
      <c r="J9" s="1" t="n"/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E24" sqref="E24"/>
    </sheetView>
  </sheetViews>
  <sheetFormatPr baseColWidth="8" defaultRowHeight="14.4"/>
  <cols>
    <col width="10" customWidth="1" min="1" max="1"/>
    <col width="20" customWidth="1" min="2" max="2"/>
    <col width="18" customWidth="1" min="3" max="11"/>
    <col width="15" customWidth="1" min="12" max="29"/>
  </cols>
  <sheetData>
    <row r="1" ht="18" customHeight="1">
      <c r="A1" s="69" t="inlineStr">
        <is>
          <t>GP / LP Waterfall with Promote - Tiered Structure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70" t="inlineStr">
        <is>
          <t>Equity Contributions</t>
        </is>
      </c>
    </row>
    <row r="4" ht="18" customHeight="1">
      <c r="A4" s="2" t="inlineStr">
        <is>
          <t>Total Equity Required</t>
        </is>
      </c>
      <c r="B4" s="4">
        <f>'Returns Summary'!B14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8" customHeight="1">
      <c r="A5" s="2" t="inlineStr">
        <is>
          <t>GP Co-Invest</t>
        </is>
      </c>
      <c r="B5" s="4">
        <f>B4*Inputs!B10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8" customHeight="1">
      <c r="A6" s="2" t="inlineStr">
        <is>
          <t>LP Equity</t>
        </is>
      </c>
      <c r="B6" s="17">
        <f>B4-B5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18" customHeight="1">
      <c r="A7" s="2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18" customHeight="1">
      <c r="A8" s="2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18" customHeight="1">
      <c r="A9" s="65" t="inlineStr">
        <is>
          <t>Year</t>
        </is>
      </c>
      <c r="B9" s="65" t="inlineStr">
        <is>
          <t>Distributable CF</t>
        </is>
      </c>
      <c r="C9" s="65" t="inlineStr">
        <is>
          <t>Return of Capital 100% LP</t>
        </is>
      </c>
      <c r="D9" s="65" t="inlineStr">
        <is>
          <t>Preferred Return 8%</t>
        </is>
      </c>
      <c r="E9" s="65" t="inlineStr">
        <is>
          <t>Remaining CF</t>
        </is>
      </c>
      <c r="F9" s="65" t="inlineStr">
        <is>
          <t>Catch-Up LP 80%</t>
        </is>
      </c>
      <c r="G9" s="65" t="inlineStr">
        <is>
          <t>Catch-Up GP 20%</t>
        </is>
      </c>
      <c r="H9" s="65" t="inlineStr">
        <is>
          <t>Residual LP 80%</t>
        </is>
      </c>
      <c r="I9" s="65" t="inlineStr">
        <is>
          <t>Residual GP 20%</t>
        </is>
      </c>
      <c r="J9" s="65" t="inlineStr">
        <is>
          <t>LP Total</t>
        </is>
      </c>
      <c r="K9" s="65" t="inlineStr">
        <is>
          <t>GP Total</t>
        </is>
      </c>
      <c r="L9" s="1" t="n"/>
    </row>
    <row r="10" ht="18" customHeight="1">
      <c r="A10" s="51" t="n">
        <v>1</v>
      </c>
      <c r="B10" s="52">
        <f>'Returns Summary'!I6</f>
        <v/>
      </c>
      <c r="C10" s="52">
        <f>MIN(B10,MAX(0,$B$6-0))</f>
        <v/>
      </c>
      <c r="D10" s="53">
        <f>MIN(MAX(0,B10-C10),$B$6*Inputs!$B$44)</f>
        <v/>
      </c>
      <c r="E10" s="53">
        <f>MAX(0,B10-C10-D10)</f>
        <v/>
      </c>
      <c r="F10" s="52">
        <f>MIN(E10,$B$6*Inputs!$B$44)*Inputs!$B$42</f>
        <v/>
      </c>
      <c r="G10" s="52">
        <f>MIN(E10,$B$6*Inputs!$B$44)*Inputs!$B$43</f>
        <v/>
      </c>
      <c r="H10" s="52">
        <f>MAX(0,E10-F10-G10)*Inputs!$B$45</f>
        <v/>
      </c>
      <c r="I10" s="52">
        <f>MAX(0,E10-F10-G10)*Inputs!$B$46</f>
        <v/>
      </c>
      <c r="J10" s="53">
        <f>C10+D10+F10+H10</f>
        <v/>
      </c>
      <c r="K10" s="53">
        <f>G10+I10</f>
        <v/>
      </c>
      <c r="L10" s="1" t="n"/>
    </row>
    <row r="11" ht="18" customHeight="1">
      <c r="A11" s="51" t="n">
        <v>2</v>
      </c>
      <c r="B11" s="52">
        <f>'Returns Summary'!I7</f>
        <v/>
      </c>
      <c r="C11" s="52">
        <f>MIN(B11,MAX(0,$B$6-SUM($C$10:C10)))</f>
        <v/>
      </c>
      <c r="D11" s="53">
        <f>MIN(MAX(0,B11-C11),$B$6*Inputs!$B$44)</f>
        <v/>
      </c>
      <c r="E11" s="53">
        <f>MAX(0,B11-C11-D11)</f>
        <v/>
      </c>
      <c r="F11" s="52">
        <f>MIN(E11,$B$6*Inputs!$B$44)*Inputs!$B$42</f>
        <v/>
      </c>
      <c r="G11" s="52">
        <f>MIN(E11,$B$6*Inputs!$B$44)*Inputs!$B$43</f>
        <v/>
      </c>
      <c r="H11" s="52">
        <f>MAX(0,E11-F11-G11)*Inputs!$B$45</f>
        <v/>
      </c>
      <c r="I11" s="52">
        <f>MAX(0,E11-F11-G11)*Inputs!$B$46</f>
        <v/>
      </c>
      <c r="J11" s="53">
        <f>C11+D11+F11+H11</f>
        <v/>
      </c>
      <c r="K11" s="53">
        <f>G11+I11</f>
        <v/>
      </c>
      <c r="L11" s="1" t="n"/>
    </row>
    <row r="12" ht="18" customHeight="1">
      <c r="A12" s="51" t="n">
        <v>3</v>
      </c>
      <c r="B12" s="52">
        <f>'Returns Summary'!I8</f>
        <v/>
      </c>
      <c r="C12" s="52">
        <f>MIN(B12,MAX(0,$B$6-SUM($C$10:C11)))</f>
        <v/>
      </c>
      <c r="D12" s="53">
        <f>MIN(MAX(0,B12-C12),$B$6*Inputs!$B$44)</f>
        <v/>
      </c>
      <c r="E12" s="53">
        <f>MAX(0,B12-C12-D12)</f>
        <v/>
      </c>
      <c r="F12" s="52">
        <f>MIN(E12,$B$6*Inputs!$B$44)*Inputs!$B$42</f>
        <v/>
      </c>
      <c r="G12" s="52">
        <f>MIN(E12,$B$6*Inputs!$B$44)*Inputs!$B$43</f>
        <v/>
      </c>
      <c r="H12" s="52">
        <f>MAX(0,E12-F12-G12)*Inputs!$B$45</f>
        <v/>
      </c>
      <c r="I12" s="52">
        <f>MAX(0,E12-F12-G12)*Inputs!$B$46</f>
        <v/>
      </c>
      <c r="J12" s="53">
        <f>C12+D12+F12+H12</f>
        <v/>
      </c>
      <c r="K12" s="53">
        <f>G12+I12</f>
        <v/>
      </c>
      <c r="L12" s="1" t="n"/>
    </row>
    <row r="13" ht="18" customHeight="1">
      <c r="A13" s="51" t="n">
        <v>4</v>
      </c>
      <c r="B13" s="52">
        <f>'Returns Summary'!I9</f>
        <v/>
      </c>
      <c r="C13" s="52">
        <f>MIN(B13,MAX(0,$B$6-SUM($C$10:C12)))</f>
        <v/>
      </c>
      <c r="D13" s="53">
        <f>MIN(MAX(0,B13-C13),$B$6*Inputs!$B$44)</f>
        <v/>
      </c>
      <c r="E13" s="53">
        <f>MAX(0,B13-C13-D13)</f>
        <v/>
      </c>
      <c r="F13" s="52">
        <f>MIN(E13,$B$6*Inputs!$B$44)*Inputs!$B$42</f>
        <v/>
      </c>
      <c r="G13" s="52">
        <f>MIN(E13,$B$6*Inputs!$B$44)*Inputs!$B$43</f>
        <v/>
      </c>
      <c r="H13" s="52">
        <f>MAX(0,E13-F13-G13)*Inputs!$B$45</f>
        <v/>
      </c>
      <c r="I13" s="52">
        <f>MAX(0,E13-F13-G13)*Inputs!$B$46</f>
        <v/>
      </c>
      <c r="J13" s="53">
        <f>C13+D13+F13+H13</f>
        <v/>
      </c>
      <c r="K13" s="53">
        <f>G13+I13</f>
        <v/>
      </c>
      <c r="L13" s="1" t="n"/>
    </row>
    <row r="14" ht="18" customHeight="1">
      <c r="A14" s="51" t="n">
        <v>5</v>
      </c>
      <c r="B14" s="52">
        <f>'Returns Summary'!I10</f>
        <v/>
      </c>
      <c r="C14" s="52">
        <f>MIN(B14,MAX(0,$B$6-SUM($C$10:C13)))</f>
        <v/>
      </c>
      <c r="D14" s="53">
        <f>MIN(MAX(0,B14-C14),$B$6*Inputs!$B$44)</f>
        <v/>
      </c>
      <c r="E14" s="53">
        <f>MAX(0,B14-C14-D14)</f>
        <v/>
      </c>
      <c r="F14" s="52">
        <f>MIN(E14,$B$6*Inputs!$B$44)*Inputs!$B$42</f>
        <v/>
      </c>
      <c r="G14" s="52">
        <f>MIN(E14,$B$6*Inputs!$B$44)*Inputs!$B$43</f>
        <v/>
      </c>
      <c r="H14" s="52">
        <f>MAX(0,E14-F14-G14)*Inputs!$B$45</f>
        <v/>
      </c>
      <c r="I14" s="52">
        <f>MAX(0,E14-F14-G14)*Inputs!$B$46</f>
        <v/>
      </c>
      <c r="J14" s="53">
        <f>C14+D14+F14+H14</f>
        <v/>
      </c>
      <c r="K14" s="53">
        <f>G14+I14</f>
        <v/>
      </c>
      <c r="L14" s="1" t="n"/>
    </row>
    <row r="15" ht="18" customHeight="1">
      <c r="A15" s="2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" customHeight="1">
      <c r="A16" s="2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18" customHeight="1">
      <c r="A17" s="70" t="inlineStr">
        <is>
          <t>Waterfall Summary</t>
        </is>
      </c>
    </row>
    <row r="18" ht="18" customHeight="1">
      <c r="A18" s="2" t="inlineStr">
        <is>
          <t>LP Total Distributions</t>
        </is>
      </c>
      <c r="B18" s="17">
        <f>SUM(J10:J14)</f>
        <v/>
      </c>
      <c r="C18" s="1" t="n"/>
      <c r="D18" s="48" t="inlineStr">
        <is>
          <t>LP CF</t>
        </is>
      </c>
      <c r="E18" s="48" t="inlineStr">
        <is>
          <t>GP CF</t>
        </is>
      </c>
      <c r="F18" s="1" t="n"/>
      <c r="G18" s="1" t="n"/>
      <c r="H18" s="1" t="n"/>
      <c r="I18" s="1" t="n"/>
      <c r="J18" s="1" t="n"/>
      <c r="K18" s="1" t="n"/>
      <c r="L18" s="1" t="n"/>
    </row>
    <row r="19" ht="18" customHeight="1">
      <c r="A19" s="2" t="inlineStr">
        <is>
          <t>GP Total Distributions</t>
        </is>
      </c>
      <c r="B19" s="17">
        <f>SUM(K10:K14)</f>
        <v/>
      </c>
      <c r="C19" s="1" t="n"/>
      <c r="D19" s="17">
        <f>-$B$6</f>
        <v/>
      </c>
      <c r="E19" s="8">
        <f>-$B$5</f>
        <v/>
      </c>
      <c r="F19" s="1" t="n"/>
      <c r="G19" s="1" t="n"/>
      <c r="H19" s="1" t="n"/>
      <c r="I19" s="1" t="n"/>
      <c r="J19" s="1" t="n"/>
      <c r="K19" s="1" t="n"/>
      <c r="L19" s="1" t="n"/>
    </row>
    <row r="20" ht="18" customHeight="1">
      <c r="A20" s="2" t="inlineStr">
        <is>
          <t>LP Equity Multiple</t>
        </is>
      </c>
      <c r="B20" s="49">
        <f>IFERROR(B18/B6,"N/A")</f>
        <v/>
      </c>
      <c r="C20" s="1" t="n"/>
      <c r="D20" s="17">
        <f>J10</f>
        <v/>
      </c>
      <c r="E20" s="8">
        <f>K10</f>
        <v/>
      </c>
      <c r="F20" s="1" t="n"/>
      <c r="G20" s="1" t="n"/>
      <c r="H20" s="1" t="n"/>
      <c r="I20" s="1" t="n"/>
      <c r="J20" s="1" t="n"/>
      <c r="K20" s="1" t="n"/>
      <c r="L20" s="1" t="n"/>
    </row>
    <row r="21" ht="18" customHeight="1">
      <c r="A21" s="2" t="inlineStr">
        <is>
          <t>GP Equity Multiple</t>
        </is>
      </c>
      <c r="B21" s="49">
        <f>IFERROR(B19/B5,"N/A")</f>
        <v/>
      </c>
      <c r="C21" s="1" t="n"/>
      <c r="D21" s="17">
        <f>J11</f>
        <v/>
      </c>
      <c r="E21" s="8">
        <f>K11</f>
        <v/>
      </c>
      <c r="F21" s="1" t="n"/>
      <c r="G21" s="1" t="n"/>
      <c r="H21" s="1" t="n"/>
      <c r="I21" s="1" t="n"/>
      <c r="J21" s="1" t="n"/>
      <c r="K21" s="1" t="n"/>
      <c r="L21" s="1" t="n"/>
    </row>
    <row r="22" ht="18" customHeight="1">
      <c r="A22" s="2" t="inlineStr">
        <is>
          <t>LP IRR</t>
        </is>
      </c>
      <c r="B22" s="16">
        <f>IFERROR(IRR(D19:D24),"N/A")</f>
        <v/>
      </c>
      <c r="C22" s="1" t="n"/>
      <c r="D22" s="17">
        <f>J12</f>
        <v/>
      </c>
      <c r="E22" s="8">
        <f>K12</f>
        <v/>
      </c>
      <c r="F22" s="1" t="n"/>
      <c r="G22" s="1" t="n"/>
      <c r="H22" s="1" t="n"/>
      <c r="I22" s="1" t="n"/>
      <c r="J22" s="1" t="n"/>
      <c r="K22" s="1" t="n"/>
      <c r="L22" s="1" t="n"/>
    </row>
    <row r="23" ht="18" customHeight="1">
      <c r="A23" s="2" t="inlineStr">
        <is>
          <t>GP IRR</t>
        </is>
      </c>
      <c r="B23" s="16">
        <f>IFERROR(IRR(E19:E24),"N/A")</f>
        <v/>
      </c>
      <c r="C23" s="1" t="n"/>
      <c r="D23" s="17">
        <f>J13</f>
        <v/>
      </c>
      <c r="E23" s="8">
        <f>K13</f>
        <v/>
      </c>
      <c r="F23" s="1" t="n"/>
      <c r="G23" s="1" t="n"/>
      <c r="H23" s="1" t="n"/>
      <c r="I23" s="1" t="n"/>
      <c r="J23" s="1" t="n"/>
      <c r="K23" s="1" t="n"/>
      <c r="L23" s="1" t="n"/>
    </row>
    <row r="24" ht="18" customHeight="1">
      <c r="A24" s="2" t="inlineStr">
        <is>
          <t>Total MOIC</t>
        </is>
      </c>
      <c r="B24" s="50">
        <f>IFERROR((B18+B19)/B4,"N/A")</f>
        <v/>
      </c>
      <c r="C24" s="1" t="n"/>
      <c r="D24" s="17">
        <f>J14</f>
        <v/>
      </c>
      <c r="E24" s="17">
        <f>K14</f>
        <v/>
      </c>
      <c r="F24" s="1" t="n"/>
      <c r="G24" s="1" t="n"/>
      <c r="H24" s="1" t="n"/>
      <c r="I24" s="1" t="n"/>
      <c r="J24" s="1" t="n"/>
      <c r="K24" s="1" t="n"/>
      <c r="L24" s="1" t="n"/>
    </row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3">
    <mergeCell ref="A3:L3"/>
    <mergeCell ref="A1:L1"/>
    <mergeCell ref="A17:L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selection activeCell="F29" sqref="F29"/>
    </sheetView>
  </sheetViews>
  <sheetFormatPr baseColWidth="8" defaultRowHeight="14.4"/>
  <cols>
    <col width="32" customWidth="1" min="1" max="1"/>
    <col width="20" customWidth="1" min="2" max="2"/>
    <col width="15" customWidth="1" min="3" max="29"/>
  </cols>
  <sheetData>
    <row r="1" ht="18" customHeight="1">
      <c r="A1" s="68" t="inlineStr">
        <is>
          <t>Returns Summary / Cash Flow Model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2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14" t="inlineStr">
        <is>
          <t>Year</t>
        </is>
      </c>
      <c r="B4" s="15" t="inlineStr">
        <is>
          <t>NOI</t>
        </is>
      </c>
      <c r="C4" s="15" t="inlineStr">
        <is>
          <t>Expansion NOI</t>
        </is>
      </c>
      <c r="D4" s="15" t="inlineStr">
        <is>
          <t>Debt Service</t>
        </is>
      </c>
      <c r="E4" s="15" t="inlineStr">
        <is>
          <t>Refi Proceeds</t>
        </is>
      </c>
      <c r="F4" s="15" t="inlineStr">
        <is>
          <t>Sponsor Fees</t>
        </is>
      </c>
      <c r="G4" s="15" t="inlineStr">
        <is>
          <t>Net Cash Flow Before Sale</t>
        </is>
      </c>
      <c r="H4" s="15" t="inlineStr">
        <is>
          <t>Sale Proceeds</t>
        </is>
      </c>
      <c r="I4" s="15" t="inlineStr">
        <is>
          <t>Total Cash Flow</t>
        </is>
      </c>
      <c r="J4" s="1" t="n"/>
      <c r="K4" s="1" t="n"/>
      <c r="L4" s="1" t="n"/>
    </row>
    <row r="5" ht="18" customHeight="1">
      <c r="A5" s="2" t="n">
        <v>0</v>
      </c>
      <c r="B5" s="1" t="n"/>
      <c r="C5" s="1" t="n"/>
      <c r="D5" s="1" t="n"/>
      <c r="E5" s="1" t="n"/>
      <c r="F5" s="1" t="n"/>
      <c r="G5" s="1" t="n"/>
      <c r="H5" s="1" t="n"/>
      <c r="I5" s="4">
        <f>-'Debt &amp; Refi'!B6</f>
        <v/>
      </c>
      <c r="J5" s="1" t="n"/>
      <c r="K5" s="1" t="n"/>
      <c r="L5" s="1" t="n"/>
    </row>
    <row r="6" ht="18" customHeight="1">
      <c r="A6" s="2" t="n">
        <v>1</v>
      </c>
      <c r="B6" s="4">
        <f>'Operating Expenses'!B17</f>
        <v/>
      </c>
      <c r="C6" s="4">
        <f>SUM('Expansion CapEx'!F17:F28)</f>
        <v/>
      </c>
      <c r="D6" s="4">
        <f>SUM('Debt &amp; Refi'!C14:C25)</f>
        <v/>
      </c>
      <c r="E6" s="4">
        <f>SUM('Debt &amp; Refi'!I14:I25)</f>
        <v/>
      </c>
      <c r="F6" s="4">
        <f>Fees!F5</f>
        <v/>
      </c>
      <c r="G6" s="17">
        <f>B6+C6-D6+E6-F6</f>
        <v/>
      </c>
      <c r="H6" s="4">
        <f>IF(A6=Inputs!$B$36/12,MAX(0,B6/Inputs!$B$35*(1-Inputs!$B$37)-'Debt &amp; Refi'!J73),0)</f>
        <v/>
      </c>
      <c r="I6" s="17">
        <f>G6+H6</f>
        <v/>
      </c>
      <c r="J6" s="1" t="n"/>
      <c r="K6" s="1" t="n"/>
      <c r="L6" s="1" t="n"/>
    </row>
    <row r="7" ht="18" customHeight="1">
      <c r="A7" s="2" t="n">
        <v>2</v>
      </c>
      <c r="B7" s="4">
        <f>'Operating Expenses'!C17</f>
        <v/>
      </c>
      <c r="C7" s="4">
        <f>SUM('Expansion CapEx'!F29:F40)</f>
        <v/>
      </c>
      <c r="D7" s="4">
        <f>SUM('Debt &amp; Refi'!C26:C37)</f>
        <v/>
      </c>
      <c r="E7" s="4">
        <f>SUM('Debt &amp; Refi'!I26:I37)</f>
        <v/>
      </c>
      <c r="F7" s="4">
        <f>Fees!F6</f>
        <v/>
      </c>
      <c r="G7" s="17">
        <f>B7+C7-D7+E7-F7</f>
        <v/>
      </c>
      <c r="H7" s="4">
        <f>IF(A7=Inputs!$B$36/12,MAX(0,B7/Inputs!$B$35*(1-Inputs!$B$37)-'Debt &amp; Refi'!J73),0)</f>
        <v/>
      </c>
      <c r="I7" s="17">
        <f>G7+H7</f>
        <v/>
      </c>
      <c r="J7" s="1" t="n"/>
      <c r="K7" s="1" t="n"/>
      <c r="L7" s="1" t="n"/>
    </row>
    <row r="8" ht="18" customHeight="1">
      <c r="A8" s="2" t="n">
        <v>3</v>
      </c>
      <c r="B8" s="4">
        <f>'Operating Expenses'!D17</f>
        <v/>
      </c>
      <c r="C8" s="4">
        <f>SUM('Expansion CapEx'!F41:F52)</f>
        <v/>
      </c>
      <c r="D8" s="4">
        <f>SUM('Debt &amp; Refi'!C38:C49)</f>
        <v/>
      </c>
      <c r="E8" s="4">
        <f>SUM('Debt &amp; Refi'!I38:I49)</f>
        <v/>
      </c>
      <c r="F8" s="4">
        <f>Fees!F7</f>
        <v/>
      </c>
      <c r="G8" s="17">
        <f>B8+C8-D8+E8-F8</f>
        <v/>
      </c>
      <c r="H8" s="4">
        <f>IF(A8=Inputs!$B$36/12,MAX(0,B8/Inputs!$B$35*(1-Inputs!$B$37)-'Debt &amp; Refi'!J73),0)</f>
        <v/>
      </c>
      <c r="I8" s="17">
        <f>G8+H8</f>
        <v/>
      </c>
      <c r="J8" s="1" t="n"/>
      <c r="K8" s="1" t="n"/>
      <c r="L8" s="1" t="n"/>
    </row>
    <row r="9" ht="18" customHeight="1">
      <c r="A9" s="2" t="n">
        <v>4</v>
      </c>
      <c r="B9" s="4">
        <f>'Operating Expenses'!E17</f>
        <v/>
      </c>
      <c r="C9" s="4">
        <f>SUM('Expansion CapEx'!F53:F64)</f>
        <v/>
      </c>
      <c r="D9" s="4">
        <f>SUM('Debt &amp; Refi'!C50:C61)</f>
        <v/>
      </c>
      <c r="E9" s="4">
        <f>SUM('Debt &amp; Refi'!I50:I61)</f>
        <v/>
      </c>
      <c r="F9" s="4">
        <f>Fees!F8</f>
        <v/>
      </c>
      <c r="G9" s="17">
        <f>B9+C9-D9+E9-F9</f>
        <v/>
      </c>
      <c r="H9" s="4">
        <f>IF(A9=Inputs!$B$36/12,MAX(0,B9/Inputs!$B$35*(1-Inputs!$B$37)-'Debt &amp; Refi'!J73),0)</f>
        <v/>
      </c>
      <c r="I9" s="17">
        <f>G9+H9</f>
        <v/>
      </c>
      <c r="J9" s="1" t="n"/>
      <c r="K9" s="1" t="n"/>
      <c r="L9" s="1" t="n"/>
    </row>
    <row r="10" ht="18" customHeight="1">
      <c r="A10" s="2" t="n">
        <v>5</v>
      </c>
      <c r="B10" s="4">
        <f>'Operating Expenses'!F17</f>
        <v/>
      </c>
      <c r="C10" s="4">
        <f>SUM('Expansion CapEx'!F65:F76)</f>
        <v/>
      </c>
      <c r="D10" s="4">
        <f>SUM('Debt &amp; Refi'!C62:C73)</f>
        <v/>
      </c>
      <c r="E10" s="4">
        <f>SUM('Debt &amp; Refi'!I62:I73)</f>
        <v/>
      </c>
      <c r="F10" s="4">
        <f>Fees!F9</f>
        <v/>
      </c>
      <c r="G10" s="17">
        <f>B10+C10-D10+E10-F10</f>
        <v/>
      </c>
      <c r="H10" s="4">
        <f>IF(A10=Inputs!$B$36/12,MAX(0,B10/Inputs!$B$35*(1-Inputs!$B$37)-'Debt &amp; Refi'!J73),0)</f>
        <v/>
      </c>
      <c r="I10" s="17">
        <f>G10+H10</f>
        <v/>
      </c>
      <c r="J10" s="1" t="n"/>
      <c r="K10" s="1" t="n"/>
      <c r="L10" s="1" t="n"/>
    </row>
    <row r="11" ht="18" customHeight="1">
      <c r="A11" s="2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18" customHeight="1">
      <c r="A12" s="2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8" customHeight="1">
      <c r="A13" s="56" t="inlineStr">
        <is>
          <t>Return Metrics</t>
        </is>
      </c>
    </row>
    <row r="14" ht="18" customHeight="1">
      <c r="A14" s="2" t="inlineStr">
        <is>
          <t>Total Equity</t>
        </is>
      </c>
      <c r="B14" s="17">
        <f>-I5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8" customHeight="1">
      <c r="A15" s="2" t="inlineStr">
        <is>
          <t>Exit Value</t>
        </is>
      </c>
      <c r="B15" s="4">
        <f>B10/Inputs!B35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" customHeight="1">
      <c r="A16" s="2" t="inlineStr">
        <is>
          <t>Levered IRR</t>
        </is>
      </c>
      <c r="B16" s="16">
        <f>IRR(I5:I10)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18" customHeight="1">
      <c r="A17" s="2" t="inlineStr">
        <is>
          <t>Equity Multiple</t>
        </is>
      </c>
      <c r="B17" s="27">
        <f>SUM(I6:I10)/ABS(I5)</f>
        <v/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18" customHeight="1">
      <c r="A18" s="2" t="inlineStr">
        <is>
          <t>Avg Cash-on-Cash</t>
        </is>
      </c>
      <c r="B18" s="16">
        <f>AVERAGE(G6:G10)/ABS(I5)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8" customHeight="1">
      <c r="A19" s="2" t="inlineStr">
        <is>
          <t>Year 1 DSCR</t>
        </is>
      </c>
      <c r="B19" s="5">
        <f>IF(Inputs!$B$49="Yes","N/A",IFERROR('Operating Expenses'!B17/'Debt &amp; Refi'!B7,"N/A"))</f>
        <v/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8" customHeight="1">
      <c r="A20" s="2" t="inlineStr">
        <is>
          <t>Year 1 Debt Yield</t>
        </is>
      </c>
      <c r="B20" s="5">
        <f>IF(Inputs!$B$49="Yes","N/A",IFERROR('Operating Expenses'!B17/'Debt &amp; Refi'!B5,"N/A"))</f>
        <v/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18" customHeight="1"/>
    <row r="22" ht="18" customHeight="1">
      <c r="A22" s="31" t="inlineStr">
        <is>
          <t>Unlevered Metrics</t>
        </is>
      </c>
      <c r="B22" s="31" t="n"/>
    </row>
    <row r="23" ht="18" customHeight="1">
      <c r="A23" s="33" t="inlineStr">
        <is>
          <t>Unlevered IRR</t>
        </is>
      </c>
      <c r="B23" s="59">
        <f>'Unlevered Scenarios'!B22</f>
        <v/>
      </c>
    </row>
    <row r="24" ht="18" customHeight="1">
      <c r="A24" s="33" t="inlineStr">
        <is>
          <t>Unlevered Equity Multiple</t>
        </is>
      </c>
      <c r="B24" s="36">
        <f>'Unlevered Scenarios'!B23</f>
        <v/>
      </c>
    </row>
    <row r="25" ht="18" customHeight="1">
      <c r="A25" s="33" t="inlineStr">
        <is>
          <t>Unlevered Avg Cash-on-Cash</t>
        </is>
      </c>
      <c r="B25" s="59">
        <f>'Unlevered Scenarios'!B24</f>
        <v/>
      </c>
    </row>
    <row r="26" ht="18" customHeight="1">
      <c r="A26" s="33" t="inlineStr">
        <is>
          <t>Unlevered Exit Value</t>
        </is>
      </c>
      <c r="B26" s="34">
        <f>'Unlevered Scenarios'!B25</f>
        <v/>
      </c>
    </row>
    <row r="27" ht="18" customHeight="1">
      <c r="A27" s="33" t="inlineStr">
        <is>
          <t>Unlevered Net Sale Proceeds</t>
        </is>
      </c>
      <c r="B27" s="34">
        <f>'Unlevered Scenarios'!B26</f>
        <v/>
      </c>
    </row>
    <row r="28" ht="18" customHeight="1">
      <c r="A28" s="33" t="inlineStr">
        <is>
          <t>Unlevered Y5 NOI Yield on Cost</t>
        </is>
      </c>
      <c r="B28" s="59">
        <f>'Unlevered Scenarios'!B27</f>
        <v/>
      </c>
    </row>
    <row r="29" ht="18" customHeight="1">
      <c r="A29" s="33" t="inlineStr">
        <is>
          <t>Active Scenario</t>
        </is>
      </c>
      <c r="B29" s="38" t="inlineStr">
        <is>
          <t>Base / Current</t>
        </is>
      </c>
    </row>
    <row r="30" ht="18" customHeight="1"/>
    <row r="31" ht="18" customHeight="1">
      <c r="A31" s="63" t="inlineStr">
        <is>
          <t>Expanded Return Metrics</t>
        </is>
      </c>
      <c r="B31" s="63" t="n"/>
    </row>
    <row r="32" ht="18" customHeight="1">
      <c r="A32" s="61" t="inlineStr">
        <is>
          <t>LP Equity Multiple</t>
        </is>
      </c>
      <c r="B32" s="54">
        <f>'GP-LP Waterfall'!B20</f>
        <v/>
      </c>
    </row>
    <row r="33" ht="18" customHeight="1">
      <c r="A33" s="61" t="inlineStr">
        <is>
          <t>GP Equity Multiple</t>
        </is>
      </c>
      <c r="B33" s="54">
        <f>'GP-LP Waterfall'!B21</f>
        <v/>
      </c>
    </row>
    <row r="34" ht="18" customHeight="1">
      <c r="A34" s="61" t="inlineStr">
        <is>
          <t>MOIC</t>
        </is>
      </c>
      <c r="B34" s="54">
        <f>B17</f>
        <v/>
      </c>
    </row>
    <row r="35" ht="18" customHeight="1">
      <c r="A35" s="61" t="inlineStr">
        <is>
          <t>Yield on Cost</t>
        </is>
      </c>
      <c r="B35" s="40">
        <f>B10/'Debt &amp; Refi'!B4</f>
        <v/>
      </c>
    </row>
    <row r="36" ht="18" customHeight="1">
      <c r="A36" s="61" t="inlineStr">
        <is>
          <t>Exit Yield</t>
        </is>
      </c>
      <c r="B36" s="40">
        <f>B10/B15</f>
        <v/>
      </c>
    </row>
    <row r="37" ht="18" customHeight="1">
      <c r="A37" s="61" t="n"/>
      <c r="B37" s="61" t="n"/>
    </row>
    <row r="38" ht="18" customHeight="1">
      <c r="A38" s="63" t="inlineStr">
        <is>
          <t>Acquisition Diagnostics</t>
        </is>
      </c>
      <c r="B38" s="63" t="n"/>
    </row>
    <row r="39" ht="18" customHeight="1">
      <c r="A39" s="61" t="inlineStr">
        <is>
          <t>Price per Rentable SF</t>
        </is>
      </c>
      <c r="B39" s="55">
        <f>IFERROR(Inputs!B4/('Unit Mix &amp; Market Comps'!B11*'Unit Mix &amp; Market Comps'!C11),"N/A")</f>
        <v/>
      </c>
    </row>
    <row r="40" ht="18" customHeight="1">
      <c r="A40" s="61" t="inlineStr">
        <is>
          <t>Price per Unit</t>
        </is>
      </c>
      <c r="B40" s="55">
        <f>IFERROR(Inputs!B4/'Unit Mix &amp; Market Comps'!B11,"N/A")</f>
        <v/>
      </c>
    </row>
    <row r="41" ht="18" customHeight="1">
      <c r="A41" s="61" t="inlineStr">
        <is>
          <t>Going-In Cap</t>
        </is>
      </c>
      <c r="B41" s="40">
        <f>IFERROR('Operating Expenses'!B17/Inputs!B4,"N/A")</f>
        <v/>
      </c>
    </row>
    <row r="42" ht="18" customHeight="1">
      <c r="A42" s="61" t="inlineStr">
        <is>
          <t>Stabilized Cap</t>
        </is>
      </c>
      <c r="B42" s="40">
        <f>IFERROR('Operating Expenses'!F17/Inputs!B4,"N/A")</f>
        <v/>
      </c>
    </row>
    <row r="43" ht="18" customHeight="1">
      <c r="A43" s="61" t="inlineStr">
        <is>
          <t>Total Cost per Rentable SF</t>
        </is>
      </c>
      <c r="B43" s="55">
        <f>IFERROR('Debt &amp; Refi'!B4/('Unit Mix &amp; Market Comps'!B11*'Unit Mix &amp; Market Comps'!C11),"N/A")</f>
        <v/>
      </c>
    </row>
    <row r="44" ht="18" customHeight="1">
      <c r="A44" s="61" t="inlineStr">
        <is>
          <t>Total Cost per Unit</t>
        </is>
      </c>
      <c r="B44" s="55">
        <f>IFERROR('Debt &amp; Refi'!B4/'Unit Mix &amp; Market Comps'!B11,"N/A")</f>
        <v/>
      </c>
    </row>
    <row r="45" ht="18" customHeight="1">
      <c r="A45" s="61" t="n"/>
      <c r="B45" s="61" t="n"/>
    </row>
    <row r="46" ht="18" customHeight="1">
      <c r="A46" s="61" t="inlineStr">
        <is>
          <t>Debt Mode</t>
        </is>
      </c>
      <c r="B46" s="61">
        <f>Inputs!B50</f>
        <v/>
      </c>
    </row>
    <row r="47" ht="18" customHeight="1">
      <c r="A47" s="61" t="inlineStr">
        <is>
          <t>Unlevered Toggle</t>
        </is>
      </c>
      <c r="B47" s="61">
        <f>Inputs!B49</f>
        <v/>
      </c>
    </row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2">
    <mergeCell ref="A13:L13"/>
    <mergeCell ref="A1:L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:J1"/>
    </sheetView>
  </sheetViews>
  <sheetFormatPr baseColWidth="8" defaultRowHeight="14.4"/>
  <cols>
    <col width="34" customWidth="1" min="1" max="1"/>
    <col width="15" customWidth="1" min="2" max="29"/>
  </cols>
  <sheetData>
    <row r="1" ht="18" customHeight="1">
      <c r="A1" s="58" t="inlineStr">
        <is>
          <t>Sensitivity Tables</t>
        </is>
      </c>
    </row>
    <row r="2" ht="18" customHeight="1">
      <c r="A2" s="2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56" t="inlineStr">
        <is>
          <t>Purchase Price / Exit Cap Sensitivity - Approx Levered IRR</t>
        </is>
      </c>
    </row>
    <row r="4" ht="18" customHeight="1">
      <c r="A4" s="14" t="inlineStr">
        <is>
          <t>Exit Cap / Price</t>
        </is>
      </c>
      <c r="B4" s="9" t="n">
        <v>8000000</v>
      </c>
      <c r="C4" s="9" t="n">
        <v>9000000</v>
      </c>
      <c r="D4" s="9" t="n">
        <v>10000000</v>
      </c>
      <c r="E4" s="9" t="n">
        <v>11000000</v>
      </c>
      <c r="F4" s="9" t="n">
        <v>12000000</v>
      </c>
      <c r="G4" s="1" t="n"/>
      <c r="H4" s="1" t="n"/>
      <c r="I4" s="1" t="n"/>
      <c r="J4" s="1" t="n"/>
    </row>
    <row r="5" ht="18" customHeight="1">
      <c r="A5" s="28" t="n">
        <v>0.065</v>
      </c>
      <c r="B5" s="5">
        <f>((('Operating Expenses'!F17/B$4)*(1-$A5)+0.01)*5)</f>
        <v/>
      </c>
      <c r="C5" s="5">
        <f>((('Operating Expenses'!F17/C$4)*(1-$A5)+0.01)*5)</f>
        <v/>
      </c>
      <c r="D5" s="5">
        <f>((('Operating Expenses'!F17/D$4)*(1-$A5)+0.01)*5)</f>
        <v/>
      </c>
      <c r="E5" s="5">
        <f>((('Operating Expenses'!F17/E$4)*(1-$A5)+0.01)*5)</f>
        <v/>
      </c>
      <c r="F5" s="5">
        <f>((('Operating Expenses'!F17/F$4)*(1-$A5)+0.01)*5)</f>
        <v/>
      </c>
      <c r="G5" s="1" t="n"/>
      <c r="H5" s="1" t="n"/>
      <c r="I5" s="1" t="n"/>
      <c r="J5" s="1" t="n"/>
    </row>
    <row r="6" ht="18" customHeight="1">
      <c r="A6" s="28" t="n">
        <v>0.07000000000000001</v>
      </c>
      <c r="B6" s="5">
        <f>((('Operating Expenses'!F17/B$4)*(1-$A6)+0.01)*5)</f>
        <v/>
      </c>
      <c r="C6" s="5">
        <f>((('Operating Expenses'!F17/C$4)*(1-$A6)+0.01)*5)</f>
        <v/>
      </c>
      <c r="D6" s="5">
        <f>((('Operating Expenses'!F17/D$4)*(1-$A6)+0.01)*5)</f>
        <v/>
      </c>
      <c r="E6" s="5">
        <f>((('Operating Expenses'!F17/E$4)*(1-$A6)+0.01)*5)</f>
        <v/>
      </c>
      <c r="F6" s="5">
        <f>((('Operating Expenses'!F17/F$4)*(1-$A6)+0.01)*5)</f>
        <v/>
      </c>
      <c r="G6" s="1" t="n"/>
      <c r="H6" s="1" t="n"/>
      <c r="I6" s="1" t="n"/>
      <c r="J6" s="1" t="n"/>
    </row>
    <row r="7" ht="18" customHeight="1">
      <c r="A7" s="28" t="n">
        <v>0.0725</v>
      </c>
      <c r="B7" s="5">
        <f>((('Operating Expenses'!F17/B$4)*(1-$A7)+0.01)*5)</f>
        <v/>
      </c>
      <c r="C7" s="5">
        <f>((('Operating Expenses'!F17/C$4)*(1-$A7)+0.01)*5)</f>
        <v/>
      </c>
      <c r="D7" s="5">
        <f>((('Operating Expenses'!F17/D$4)*(1-$A7)+0.01)*5)</f>
        <v/>
      </c>
      <c r="E7" s="5">
        <f>((('Operating Expenses'!F17/E$4)*(1-$A7)+0.01)*5)</f>
        <v/>
      </c>
      <c r="F7" s="5">
        <f>((('Operating Expenses'!F17/F$4)*(1-$A7)+0.01)*5)</f>
        <v/>
      </c>
      <c r="G7" s="1" t="n"/>
      <c r="H7" s="1" t="n"/>
      <c r="I7" s="1" t="n"/>
      <c r="J7" s="1" t="n"/>
    </row>
    <row r="8" ht="18" customHeight="1">
      <c r="A8" s="28" t="n">
        <v>0.075</v>
      </c>
      <c r="B8" s="5">
        <f>((('Operating Expenses'!F17/B$4)*(1-$A8)+0.01)*5)</f>
        <v/>
      </c>
      <c r="C8" s="5">
        <f>((('Operating Expenses'!F17/C$4)*(1-$A8)+0.01)*5)</f>
        <v/>
      </c>
      <c r="D8" s="5">
        <f>((('Operating Expenses'!F17/D$4)*(1-$A8)+0.01)*5)</f>
        <v/>
      </c>
      <c r="E8" s="5">
        <f>((('Operating Expenses'!F17/E$4)*(1-$A8)+0.01)*5)</f>
        <v/>
      </c>
      <c r="F8" s="5">
        <f>((('Operating Expenses'!F17/F$4)*(1-$A8)+0.01)*5)</f>
        <v/>
      </c>
      <c r="G8" s="1" t="n"/>
      <c r="H8" s="1" t="n"/>
      <c r="I8" s="1" t="n"/>
      <c r="J8" s="1" t="n"/>
    </row>
    <row r="9" ht="18" customHeight="1">
      <c r="A9" s="28" t="n">
        <v>0.08</v>
      </c>
      <c r="B9" s="5">
        <f>((('Operating Expenses'!F17/B$4)*(1-$A9)+0.01)*5)</f>
        <v/>
      </c>
      <c r="C9" s="5">
        <f>((('Operating Expenses'!F17/C$4)*(1-$A9)+0.01)*5)</f>
        <v/>
      </c>
      <c r="D9" s="5">
        <f>((('Operating Expenses'!F17/D$4)*(1-$A9)+0.01)*5)</f>
        <v/>
      </c>
      <c r="E9" s="5">
        <f>((('Operating Expenses'!F17/E$4)*(1-$A9)+0.01)*5)</f>
        <v/>
      </c>
      <c r="F9" s="5">
        <f>((('Operating Expenses'!F17/F$4)*(1-$A9)+0.01)*5)</f>
        <v/>
      </c>
      <c r="G9" s="1" t="n"/>
      <c r="H9" s="1" t="n"/>
      <c r="I9" s="1" t="n"/>
      <c r="J9" s="1" t="n"/>
    </row>
    <row r="10" ht="18" customHeight="1">
      <c r="A10" s="2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2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 ht="18" customHeight="1">
      <c r="A12" s="2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18" customHeight="1">
      <c r="A13" s="56" t="inlineStr">
        <is>
          <t>Occupancy / Rent Growth Sensitivity - Year 5 NOI</t>
        </is>
      </c>
    </row>
    <row r="14" ht="18" customHeight="1">
      <c r="A14" s="14" t="inlineStr">
        <is>
          <t>Rent Growth / Occ</t>
        </is>
      </c>
      <c r="B14" s="10" t="n">
        <v>0.82</v>
      </c>
      <c r="C14" s="10" t="n">
        <v>0.86</v>
      </c>
      <c r="D14" s="10" t="n">
        <v>0.9</v>
      </c>
      <c r="E14" s="10" t="n">
        <v>0.92</v>
      </c>
      <c r="F14" s="10" t="n">
        <v>0.9399999999999999</v>
      </c>
      <c r="G14" s="1" t="n"/>
      <c r="H14" s="1" t="n"/>
      <c r="I14" s="1" t="n"/>
      <c r="J14" s="1" t="n"/>
    </row>
    <row r="15" ht="18" customHeight="1">
      <c r="A15" s="28" t="n">
        <v>0.02</v>
      </c>
      <c r="B15" s="4">
        <f>('Unit Mix &amp; Market Comps'!$H$11*(1+$A15)^5*B$14*(1-Inputs!$B$17)+Inputs!$B$21*12)-'Operating Expenses'!F15</f>
        <v/>
      </c>
      <c r="C15" s="4">
        <f>('Unit Mix &amp; Market Comps'!$H$11*(1+$A15)^5*C$14*(1-Inputs!$B$17)+Inputs!$B$21*12)-'Operating Expenses'!F15</f>
        <v/>
      </c>
      <c r="D15" s="4">
        <f>('Unit Mix &amp; Market Comps'!$H$11*(1+$A15)^5*D$14*(1-Inputs!$B$17)+Inputs!$B$21*12)-'Operating Expenses'!F15</f>
        <v/>
      </c>
      <c r="E15" s="4">
        <f>('Unit Mix &amp; Market Comps'!$H$11*(1+$A15)^5*E$14*(1-Inputs!$B$17)+Inputs!$B$21*12)-'Operating Expenses'!F15</f>
        <v/>
      </c>
      <c r="F15" s="4">
        <f>('Unit Mix &amp; Market Comps'!$H$11*(1+$A15)^5*F$14*(1-Inputs!$B$17)+Inputs!$B$21*12)-'Operating Expenses'!F15</f>
        <v/>
      </c>
      <c r="G15" s="1" t="n"/>
      <c r="H15" s="1" t="n"/>
      <c r="I15" s="1" t="n"/>
      <c r="J15" s="1" t="n"/>
    </row>
    <row r="16" ht="18" customHeight="1">
      <c r="A16" s="28" t="n">
        <v>0.03</v>
      </c>
      <c r="B16" s="4">
        <f>('Unit Mix &amp; Market Comps'!$H$11*(1+$A16)^5*B$14*(1-Inputs!$B$17)+Inputs!$B$21*12)-'Operating Expenses'!F15</f>
        <v/>
      </c>
      <c r="C16" s="4">
        <f>('Unit Mix &amp; Market Comps'!$H$11*(1+$A16)^5*C$14*(1-Inputs!$B$17)+Inputs!$B$21*12)-'Operating Expenses'!F15</f>
        <v/>
      </c>
      <c r="D16" s="4">
        <f>('Unit Mix &amp; Market Comps'!$H$11*(1+$A16)^5*D$14*(1-Inputs!$B$17)+Inputs!$B$21*12)-'Operating Expenses'!F15</f>
        <v/>
      </c>
      <c r="E16" s="4">
        <f>('Unit Mix &amp; Market Comps'!$H$11*(1+$A16)^5*E$14*(1-Inputs!$B$17)+Inputs!$B$21*12)-'Operating Expenses'!F15</f>
        <v/>
      </c>
      <c r="F16" s="4">
        <f>('Unit Mix &amp; Market Comps'!$H$11*(1+$A16)^5*F$14*(1-Inputs!$B$17)+Inputs!$B$21*12)-'Operating Expenses'!F15</f>
        <v/>
      </c>
      <c r="G16" s="1" t="n"/>
      <c r="H16" s="1" t="n"/>
      <c r="I16" s="1" t="n"/>
      <c r="J16" s="1" t="n"/>
    </row>
    <row r="17" ht="18" customHeight="1">
      <c r="A17" s="28" t="n">
        <v>0.04</v>
      </c>
      <c r="B17" s="4">
        <f>('Unit Mix &amp; Market Comps'!$H$11*(1+$A17)^5*B$14*(1-Inputs!$B$17)+Inputs!$B$21*12)-'Operating Expenses'!F15</f>
        <v/>
      </c>
      <c r="C17" s="4">
        <f>('Unit Mix &amp; Market Comps'!$H$11*(1+$A17)^5*C$14*(1-Inputs!$B$17)+Inputs!$B$21*12)-'Operating Expenses'!F15</f>
        <v/>
      </c>
      <c r="D17" s="4">
        <f>('Unit Mix &amp; Market Comps'!$H$11*(1+$A17)^5*D$14*(1-Inputs!$B$17)+Inputs!$B$21*12)-'Operating Expenses'!F15</f>
        <v/>
      </c>
      <c r="E17" s="4">
        <f>('Unit Mix &amp; Market Comps'!$H$11*(1+$A17)^5*E$14*(1-Inputs!$B$17)+Inputs!$B$21*12)-'Operating Expenses'!F15</f>
        <v/>
      </c>
      <c r="F17" s="4">
        <f>('Unit Mix &amp; Market Comps'!$H$11*(1+$A17)^5*F$14*(1-Inputs!$B$17)+Inputs!$B$21*12)-'Operating Expenses'!F15</f>
        <v/>
      </c>
      <c r="G17" s="1" t="n"/>
      <c r="H17" s="1" t="n"/>
      <c r="I17" s="1" t="n"/>
      <c r="J17" s="1" t="n"/>
    </row>
    <row r="18" ht="18" customHeight="1">
      <c r="A18" s="28" t="n">
        <v>0.05</v>
      </c>
      <c r="B18" s="4">
        <f>('Unit Mix &amp; Market Comps'!$H$11*(1+$A18)^5*B$14*(1-Inputs!$B$17)+Inputs!$B$21*12)-'Operating Expenses'!F15</f>
        <v/>
      </c>
      <c r="C18" s="4">
        <f>('Unit Mix &amp; Market Comps'!$H$11*(1+$A18)^5*C$14*(1-Inputs!$B$17)+Inputs!$B$21*12)-'Operating Expenses'!F15</f>
        <v/>
      </c>
      <c r="D18" s="4">
        <f>('Unit Mix &amp; Market Comps'!$H$11*(1+$A18)^5*D$14*(1-Inputs!$B$17)+Inputs!$B$21*12)-'Operating Expenses'!F15</f>
        <v/>
      </c>
      <c r="E18" s="4">
        <f>('Unit Mix &amp; Market Comps'!$H$11*(1+$A18)^5*E$14*(1-Inputs!$B$17)+Inputs!$B$21*12)-'Operating Expenses'!F15</f>
        <v/>
      </c>
      <c r="F18" s="4">
        <f>('Unit Mix &amp; Market Comps'!$H$11*(1+$A18)^5*F$14*(1-Inputs!$B$17)+Inputs!$B$21*12)-'Operating Expenses'!F15</f>
        <v/>
      </c>
      <c r="G18" s="1" t="n"/>
      <c r="H18" s="1" t="n"/>
      <c r="I18" s="1" t="n"/>
      <c r="J18" s="1" t="n"/>
    </row>
    <row r="19" ht="18" customHeight="1">
      <c r="A19" s="28" t="n">
        <v>0.06</v>
      </c>
      <c r="B19" s="4">
        <f>('Unit Mix &amp; Market Comps'!$H$11*(1+$A19)^5*B$14*(1-Inputs!$B$17)+Inputs!$B$21*12)-'Operating Expenses'!F15</f>
        <v/>
      </c>
      <c r="C19" s="4">
        <f>('Unit Mix &amp; Market Comps'!$H$11*(1+$A19)^5*C$14*(1-Inputs!$B$17)+Inputs!$B$21*12)-'Operating Expenses'!F15</f>
        <v/>
      </c>
      <c r="D19" s="4">
        <f>('Unit Mix &amp; Market Comps'!$H$11*(1+$A19)^5*D$14*(1-Inputs!$B$17)+Inputs!$B$21*12)-'Operating Expenses'!F15</f>
        <v/>
      </c>
      <c r="E19" s="4">
        <f>('Unit Mix &amp; Market Comps'!$H$11*(1+$A19)^5*E$14*(1-Inputs!$B$17)+Inputs!$B$21*12)-'Operating Expenses'!F15</f>
        <v/>
      </c>
      <c r="F19" s="4">
        <f>('Unit Mix &amp; Market Comps'!$H$11*(1+$A19)^5*F$14*(1-Inputs!$B$17)+Inputs!$B$21*12)-'Operating Expenses'!F15</f>
        <v/>
      </c>
      <c r="G19" s="1" t="n"/>
      <c r="H19" s="1" t="n"/>
      <c r="I19" s="1" t="n"/>
      <c r="J19" s="1" t="n"/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</sheetData>
  <mergeCells count="3">
    <mergeCell ref="A1:J1"/>
    <mergeCell ref="A13:J13"/>
    <mergeCell ref="A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:H1"/>
    </sheetView>
  </sheetViews>
  <sheetFormatPr baseColWidth="8" defaultRowHeight="14.4"/>
  <cols>
    <col width="28" customWidth="1" min="1" max="1"/>
    <col width="18" customWidth="1" min="2" max="4"/>
    <col width="28" customWidth="1" min="5" max="5"/>
    <col width="16" customWidth="1" min="6" max="6"/>
    <col width="3" customWidth="1" min="7" max="8"/>
  </cols>
  <sheetData>
    <row r="1">
      <c r="A1" s="71" t="inlineStr">
        <is>
          <t>Unlevered Scenario Analysis</t>
        </is>
      </c>
    </row>
    <row r="3">
      <c r="A3" s="66" t="inlineStr">
        <is>
          <t>Scenario Assumptions</t>
        </is>
      </c>
    </row>
    <row r="4">
      <c r="A4" t="inlineStr">
        <is>
          <t>Purchase Price</t>
        </is>
      </c>
      <c r="B4" s="34">
        <f>Inputs!B4</f>
        <v/>
      </c>
      <c r="C4" s="34">
        <f>10500000</f>
        <v/>
      </c>
      <c r="D4" s="34">
        <f>9500000</f>
        <v/>
      </c>
      <c r="E4" s="34">
        <f>10000000</f>
        <v/>
      </c>
      <c r="F4" s="34">
        <f>10000000</f>
        <v/>
      </c>
    </row>
    <row r="5">
      <c r="A5" t="inlineStr">
        <is>
          <t>Closing Costs %</t>
        </is>
      </c>
      <c r="B5" s="59">
        <f>Inputs!B5</f>
        <v/>
      </c>
      <c r="C5" s="59">
        <f>0.02</f>
        <v/>
      </c>
      <c r="D5" s="59">
        <f>0.02</f>
        <v/>
      </c>
      <c r="E5" s="59">
        <f>0.02</f>
        <v/>
      </c>
      <c r="F5" s="59">
        <f>0.02</f>
        <v/>
      </c>
    </row>
    <row r="6">
      <c r="A6" t="inlineStr">
        <is>
          <t>Initial Repairs / Deferred CapEx</t>
        </is>
      </c>
      <c r="B6" s="34">
        <f>Inputs!B6</f>
        <v/>
      </c>
      <c r="C6" s="34">
        <f>250000</f>
        <v/>
      </c>
      <c r="D6" s="34">
        <f>250000</f>
        <v/>
      </c>
      <c r="E6" s="34">
        <f>250000</f>
        <v/>
      </c>
      <c r="F6" s="34">
        <f>250000</f>
        <v/>
      </c>
    </row>
    <row r="7">
      <c r="A7" t="inlineStr">
        <is>
          <t>Acquisition Fee %</t>
        </is>
      </c>
      <c r="B7" s="59">
        <f>Inputs!B7</f>
        <v/>
      </c>
      <c r="C7" s="59">
        <f>0.02</f>
        <v/>
      </c>
      <c r="D7" s="59">
        <f>0.02</f>
        <v/>
      </c>
      <c r="E7" s="59">
        <f>0.02</f>
        <v/>
      </c>
      <c r="F7" s="59">
        <f>0.02</f>
        <v/>
      </c>
    </row>
    <row r="8">
      <c r="A8" t="inlineStr">
        <is>
          <t>Exit Cap Rate</t>
        </is>
      </c>
      <c r="B8" s="59">
        <f>Inputs!B35</f>
        <v/>
      </c>
      <c r="C8" s="59">
        <f>0.0775</f>
        <v/>
      </c>
      <c r="D8" s="59">
        <f>0.0674999999999999</f>
        <v/>
      </c>
      <c r="E8" s="59">
        <f>0.0624999999999999</f>
        <v/>
      </c>
      <c r="F8" s="59">
        <f>0.0824999999999999</f>
        <v/>
      </c>
    </row>
    <row r="9">
      <c r="A9" t="inlineStr">
        <is>
          <t>Selling Costs %</t>
        </is>
      </c>
      <c r="B9" s="59">
        <f>Inputs!B37</f>
        <v/>
      </c>
      <c r="C9" s="59">
        <f>0.02</f>
        <v/>
      </c>
      <c r="D9" s="59">
        <f>0.02</f>
        <v/>
      </c>
      <c r="E9" s="59">
        <f>0.02</f>
        <v/>
      </c>
      <c r="F9" s="59">
        <f>0.02</f>
        <v/>
      </c>
    </row>
    <row r="10">
      <c r="A10" t="inlineStr">
        <is>
          <t>Total Unlevered Cost</t>
        </is>
      </c>
      <c r="B10" s="34">
        <f>B4*(1+B5)+B6</f>
        <v/>
      </c>
      <c r="C10" s="34">
        <f>11170000</f>
        <v/>
      </c>
      <c r="D10" s="34">
        <f>10130000</f>
        <v/>
      </c>
      <c r="E10" s="34">
        <f>10650000</f>
        <v/>
      </c>
      <c r="F10" s="34">
        <f>10650000</f>
        <v/>
      </c>
    </row>
    <row r="12">
      <c r="A12" s="66" t="inlineStr">
        <is>
          <t>Annual Unlevered Cash Flow</t>
        </is>
      </c>
    </row>
    <row r="13">
      <c r="A13" s="32" t="inlineStr">
        <is>
          <t>Year</t>
        </is>
      </c>
      <c r="B13" s="32" t="inlineStr">
        <is>
          <t>Base / Current</t>
        </is>
      </c>
      <c r="C13" s="32" t="inlineStr">
        <is>
          <t>Downside</t>
        </is>
      </c>
      <c r="D13" s="32" t="inlineStr">
        <is>
          <t>Upside</t>
        </is>
      </c>
      <c r="E13" s="32" t="inlineStr">
        <is>
          <t>Lower Exit Cap</t>
        </is>
      </c>
      <c r="F13" s="32" t="inlineStr">
        <is>
          <t>Higher Exit Cap</t>
        </is>
      </c>
    </row>
    <row r="14">
      <c r="A14" t="n">
        <v>0</v>
      </c>
      <c r="B14" s="34">
        <f>-B10</f>
        <v/>
      </c>
      <c r="C14" s="34">
        <f>-11170000</f>
        <v/>
      </c>
      <c r="D14" s="34">
        <f>-10130000</f>
        <v/>
      </c>
      <c r="E14" s="34">
        <f>-10650000</f>
        <v/>
      </c>
      <c r="F14" s="34">
        <f>-10650000</f>
        <v/>
      </c>
    </row>
    <row r="15">
      <c r="A15" t="n">
        <v>1</v>
      </c>
      <c r="B15" s="34">
        <f>'Operating Expenses'!B17</f>
        <v/>
      </c>
      <c r="C15" s="34">
        <f>489943.81836461</f>
        <v/>
      </c>
      <c r="D15" s="34">
        <f>543208.227090963</f>
        <v/>
      </c>
      <c r="E15" s="34">
        <f>516576.022727787</f>
        <v/>
      </c>
      <c r="F15" s="34">
        <f>516576.022727787</f>
        <v/>
      </c>
    </row>
    <row r="16">
      <c r="A16" t="n">
        <v>2</v>
      </c>
      <c r="B16" s="34">
        <f>'Operating Expenses'!C17</f>
        <v/>
      </c>
      <c r="C16" s="34">
        <f>661628.890265463</f>
        <v/>
      </c>
      <c r="D16" s="34">
        <f>733276.938775935</f>
        <v/>
      </c>
      <c r="E16" s="34">
        <f>697452.914520699</f>
        <v/>
      </c>
      <c r="F16" s="34">
        <f>697452.914520699</f>
        <v/>
      </c>
    </row>
    <row r="17">
      <c r="A17" t="n">
        <v>3</v>
      </c>
      <c r="B17" s="34">
        <f>'Operating Expenses'!D17</f>
        <v/>
      </c>
      <c r="C17" s="34">
        <f>911821.49798933</f>
        <v/>
      </c>
      <c r="D17" s="34">
        <f>1001417.90123847</f>
        <v/>
      </c>
      <c r="E17" s="34">
        <f>956619.699613901</f>
        <v/>
      </c>
      <c r="F17" s="34">
        <f>956619.699613901</f>
        <v/>
      </c>
    </row>
    <row r="18">
      <c r="A18" t="n">
        <v>4</v>
      </c>
      <c r="B18" s="34">
        <f>'Operating Expenses'!E17</f>
        <v/>
      </c>
      <c r="C18" s="34">
        <f>1186335.28161739</f>
        <v/>
      </c>
      <c r="D18" s="34">
        <f>1294875.90603635</f>
        <v/>
      </c>
      <c r="E18" s="34">
        <f>1240605.59382687</f>
        <v/>
      </c>
      <c r="F18" s="34">
        <f>1240605.59382687</f>
        <v/>
      </c>
    </row>
    <row r="19">
      <c r="A19" t="n">
        <v>5</v>
      </c>
      <c r="B19" s="34">
        <f>'Operating Expenses'!F17+('Operating Expenses'!F17/B8*(1-B9))</f>
        <v/>
      </c>
      <c r="C19" s="34">
        <f>14753781.8391852</f>
        <v/>
      </c>
      <c r="D19" s="34">
        <f>18505915.4386592</f>
        <v/>
      </c>
      <c r="E19" s="34">
        <f>18940145.6821185</f>
        <v/>
      </c>
      <c r="F19" s="34">
        <f>14659047.3007037</f>
        <v/>
      </c>
    </row>
    <row r="21">
      <c r="A21" s="31" t="inlineStr">
        <is>
          <t>Unlevered Return Metrics</t>
        </is>
      </c>
      <c r="B21" s="31" t="n"/>
      <c r="C21" s="31" t="n"/>
      <c r="D21" s="31" t="n"/>
      <c r="E21" s="31" t="n"/>
      <c r="F21" s="31" t="n"/>
    </row>
    <row r="22">
      <c r="A22" s="66" t="inlineStr">
        <is>
          <t>Unlevered IRR</t>
        </is>
      </c>
      <c r="B22">
        <f>IFERROR(IRR(B14:B19),"N/A")</f>
        <v/>
      </c>
    </row>
    <row r="23">
      <c r="A23" s="33" t="inlineStr">
        <is>
          <t>Equity Multiple</t>
        </is>
      </c>
      <c r="B23" s="36">
        <f>IFERROR(SUM(B15:B19)/ABS(B14),"N/A")</f>
        <v/>
      </c>
      <c r="C23" s="36">
        <f>1.61177361928576</f>
        <v/>
      </c>
      <c r="D23" s="36">
        <f>2.17953547994087</f>
        <v/>
      </c>
      <c r="E23" s="36">
        <f>2.09872299650778</f>
        <v/>
      </c>
      <c r="F23" s="36">
        <f>1.69674192783032</f>
        <v/>
      </c>
    </row>
    <row r="24">
      <c r="A24" s="33" t="inlineStr">
        <is>
          <t>Avg Cash-on-Cash</t>
        </is>
      </c>
      <c r="B24" s="59">
        <f>IFERROR(AVERAGE(B15:B18)/ABS(B14),"N/A")</f>
        <v/>
      </c>
      <c r="C24" s="59">
        <f>0.0727334263258012</f>
        <v/>
      </c>
      <c r="D24" s="59">
        <f>0.0881732224368639</f>
        <v/>
      </c>
      <c r="E24" s="59">
        <f>0.0800763903917667</f>
        <v/>
      </c>
      <c r="F24" s="59">
        <f>0.0800763903917667</f>
        <v/>
      </c>
    </row>
    <row r="25">
      <c r="A25" s="33" t="inlineStr">
        <is>
          <t>Exit Value</t>
        </is>
      </c>
      <c r="B25" s="34">
        <f>'Operating Expenses'!F17/B8</f>
        <v/>
      </c>
      <c r="C25" s="34">
        <f>13805591.0814429</f>
        <v/>
      </c>
      <c r="D25" s="34">
        <f>17519375.8168019</f>
        <v/>
      </c>
      <c r="E25" s="34">
        <f>18019929.4115677</f>
        <v/>
      </c>
      <c r="F25" s="34">
        <f>13651461.67543</f>
        <v/>
      </c>
    </row>
    <row r="26">
      <c r="A26" s="33" t="inlineStr">
        <is>
          <t>Net Sale Proceeds</t>
        </is>
      </c>
      <c r="B26" s="34">
        <f>'Operating Expenses'!F17/B8*(1-B9)</f>
        <v/>
      </c>
      <c r="C26" s="34">
        <f>13529479.2598141</f>
        <v/>
      </c>
      <c r="D26" s="34">
        <f>17168988.3004659</f>
        <v/>
      </c>
      <c r="E26" s="34">
        <f>17659530.8233363</f>
        <v/>
      </c>
      <c r="F26" s="34">
        <f>13378432.4419214</f>
        <v/>
      </c>
    </row>
    <row r="27">
      <c r="A27" s="33" t="inlineStr">
        <is>
          <t>Year 5 NOI Yield on Cost</t>
        </is>
      </c>
      <c r="B27" s="59">
        <f>'Operating Expenses'!F17/B10</f>
        <v/>
      </c>
      <c r="C27" s="59">
        <f>0.0957863302427781</f>
        <v/>
      </c>
      <c r="D27" s="59">
        <f>0.116738190289647</f>
        <v/>
      </c>
      <c r="E27" s="59">
        <f>0.105750759457556</f>
        <v/>
      </c>
      <c r="F27" s="59">
        <f>0.105750759457556</f>
        <v/>
      </c>
    </row>
    <row r="28" ht="28.8" customHeight="1">
      <c r="A28" s="39" t="inlineStr">
        <is>
          <t>Notes</t>
        </is>
      </c>
      <c r="B28" s="40" t="inlineStr">
        <is>
          <t>All scenarios are debt-free and exclude refi proceeds/debt service. Downside/Upside flex Year 1-5 NOI by +/-5% and sale value accordingly.</t>
        </is>
      </c>
      <c r="C28" s="40" t="n"/>
      <c r="D28" s="40" t="n"/>
      <c r="E28" s="40" t="n"/>
      <c r="F28" s="40" t="n"/>
    </row>
    <row r="29" ht="28.8" customHeight="1">
      <c r="A29" s="61" t="n"/>
      <c r="B29" s="61" t="n"/>
      <c r="C29" s="61" t="n"/>
      <c r="D29" s="61" t="n"/>
      <c r="E29" s="61" t="n"/>
      <c r="F29" s="61" t="n"/>
    </row>
    <row r="32" ht="18" customHeight="1">
      <c r="A32" s="41" t="inlineStr">
        <is>
          <t>UNLEVERED IRR SCENARIO ANALYSIS</t>
        </is>
      </c>
    </row>
    <row r="34">
      <c r="A34" s="42" t="inlineStr">
        <is>
          <t>Scenario</t>
        </is>
      </c>
      <c r="B34" s="42" t="inlineStr">
        <is>
          <t>Exit Cap Rate</t>
        </is>
      </c>
      <c r="C34" s="42" t="inlineStr">
        <is>
          <t>NOI Growth</t>
        </is>
      </c>
      <c r="D34" s="42" t="inlineStr">
        <is>
          <t>Hold Period</t>
        </is>
      </c>
      <c r="E34" s="42" t="inlineStr">
        <is>
          <t>Projected Unlevered IRR</t>
        </is>
      </c>
    </row>
    <row r="35">
      <c r="A35" s="43" t="inlineStr">
        <is>
          <t>Severe Downside</t>
        </is>
      </c>
      <c r="B35" s="43" t="inlineStr">
        <is>
          <t>8.00%</t>
        </is>
      </c>
      <c r="C35" s="43" t="inlineStr">
        <is>
          <t>1.0%</t>
        </is>
      </c>
      <c r="D35" s="43" t="inlineStr">
        <is>
          <t>5 Years</t>
        </is>
      </c>
      <c r="E35" s="43" t="inlineStr">
        <is>
          <t>5.0% - 6.5%</t>
        </is>
      </c>
    </row>
    <row r="36">
      <c r="A36" s="43" t="inlineStr">
        <is>
          <t>Downside</t>
        </is>
      </c>
      <c r="B36" s="43" t="inlineStr">
        <is>
          <t>7.50%</t>
        </is>
      </c>
      <c r="C36" s="43" t="inlineStr">
        <is>
          <t>2.0%</t>
        </is>
      </c>
      <c r="D36" s="43" t="inlineStr">
        <is>
          <t>5 Years</t>
        </is>
      </c>
      <c r="E36" s="43" t="inlineStr">
        <is>
          <t>6.5% - 8.0%</t>
        </is>
      </c>
    </row>
    <row r="37">
      <c r="A37" s="43" t="inlineStr">
        <is>
          <t>Base Case</t>
        </is>
      </c>
      <c r="B37" s="43" t="inlineStr">
        <is>
          <t>6.75%</t>
        </is>
      </c>
      <c r="C37" s="43" t="inlineStr">
        <is>
          <t>3.0%</t>
        </is>
      </c>
      <c r="D37" s="43" t="inlineStr">
        <is>
          <t>5 Years</t>
        </is>
      </c>
      <c r="E37" s="43" t="inlineStr">
        <is>
          <t>9.0% - 11.0%</t>
        </is>
      </c>
    </row>
    <row r="38">
      <c r="A38" s="43" t="inlineStr">
        <is>
          <t>Strong Upside</t>
        </is>
      </c>
      <c r="B38" s="43" t="inlineStr">
        <is>
          <t>6.00%</t>
        </is>
      </c>
      <c r="C38" s="43" t="inlineStr">
        <is>
          <t>4.0%</t>
        </is>
      </c>
      <c r="D38" s="43" t="inlineStr">
        <is>
          <t>5 Years</t>
        </is>
      </c>
      <c r="E38" s="43" t="inlineStr">
        <is>
          <t>12.0% - 15.0%</t>
        </is>
      </c>
    </row>
    <row r="39">
      <c r="A39" s="43" t="inlineStr">
        <is>
          <t>Aggressive Upside</t>
        </is>
      </c>
      <c r="B39" s="43" t="inlineStr">
        <is>
          <t>5.50%</t>
        </is>
      </c>
      <c r="C39" s="43" t="inlineStr">
        <is>
          <t>5.0%</t>
        </is>
      </c>
      <c r="D39" s="43" t="inlineStr">
        <is>
          <t>7 Years</t>
        </is>
      </c>
      <c r="E39" s="43" t="inlineStr">
        <is>
          <t>16.0% - 20.0%</t>
        </is>
      </c>
    </row>
    <row r="40">
      <c r="A40" s="43" t="inlineStr">
        <is>
          <t>Expansion / Redevelopment</t>
        </is>
      </c>
      <c r="B40" s="43" t="inlineStr">
        <is>
          <t>5.00%</t>
        </is>
      </c>
      <c r="C40" s="43" t="inlineStr">
        <is>
          <t>6.0%</t>
        </is>
      </c>
      <c r="D40" s="43" t="inlineStr">
        <is>
          <t>7-10 Years</t>
        </is>
      </c>
      <c r="E40" s="43" t="inlineStr">
        <is>
          <t>20.0%+</t>
        </is>
      </c>
    </row>
    <row r="42">
      <c r="A42" s="63" t="inlineStr">
        <is>
          <t>Acquisition Diagnostics</t>
        </is>
      </c>
      <c r="B42" s="63" t="n"/>
    </row>
    <row r="43">
      <c r="A43" t="inlineStr">
        <is>
          <t>Price per Rentable SF</t>
        </is>
      </c>
      <c r="B43" s="46">
        <f>'Returns Summary'!B39</f>
        <v/>
      </c>
    </row>
    <row r="44">
      <c r="A44" t="inlineStr">
        <is>
          <t>Price per Unit</t>
        </is>
      </c>
      <c r="B44" s="46">
        <f>'Returns Summary'!B40</f>
        <v/>
      </c>
    </row>
    <row r="45">
      <c r="A45" t="inlineStr">
        <is>
          <t>Going-In Cap</t>
        </is>
      </c>
      <c r="B45" s="59">
        <f>'Returns Summary'!B41</f>
        <v/>
      </c>
    </row>
    <row r="46">
      <c r="A46" t="inlineStr">
        <is>
          <t>Stabilized Cap</t>
        </is>
      </c>
      <c r="B46" s="59">
        <f>'Returns Summary'!B42</f>
        <v/>
      </c>
    </row>
    <row r="47">
      <c r="A47" t="inlineStr">
        <is>
          <t>Yield on Cost</t>
        </is>
      </c>
      <c r="B47" s="59">
        <f>'Returns Summary'!B35</f>
        <v/>
      </c>
    </row>
    <row r="48">
      <c r="A48" t="inlineStr">
        <is>
          <t>Exit Yield</t>
        </is>
      </c>
      <c r="B48" s="59">
        <f>'Returns Summary'!B36</f>
        <v/>
      </c>
    </row>
    <row r="49">
      <c r="A49" t="inlineStr">
        <is>
          <t>Debt Mode</t>
        </is>
      </c>
      <c r="B49">
        <f>Inputs!B50</f>
        <v/>
      </c>
    </row>
    <row r="50">
      <c r="A50" t="inlineStr">
        <is>
          <t>Unlevered Toggle</t>
        </is>
      </c>
      <c r="B50">
        <f>Inputs!B49</f>
        <v/>
      </c>
    </row>
    <row r="51">
      <c r="A51" t="inlineStr">
        <is>
          <t>Note</t>
        </is>
      </c>
      <c r="B51" t="inlineStr">
        <is>
          <t>Debt service is automatically zeroed when Unlevered = Yes.</t>
        </is>
      </c>
    </row>
  </sheetData>
  <mergeCells count="3">
    <mergeCell ref="A3:F3"/>
    <mergeCell ref="A12:F1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Joshua Ernst</dc:creator>
  <dcterms:created xmlns:dcterms="http://purl.org/dc/terms/" xmlns:xsi="http://www.w3.org/2001/XMLSchema-instance" xsi:type="dcterms:W3CDTF">2026-06-11T21:23:31Z</dcterms:created>
  <dcterms:modified xmlns:dcterms="http://purl.org/dc/terms/" xmlns:xsi="http://www.w3.org/2001/XMLSchema-instance" xsi:type="dcterms:W3CDTF">2026-06-29T23:09:23Z</dcterms:modified>
  <cp:lastModifiedBy>Joshua Ernst</cp:lastModifiedBy>
</cp:coreProperties>
</file>